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b543d18c2045b578/Desktop/Coding Ninjas DA Job Bootcamp/excel/"/>
    </mc:Choice>
  </mc:AlternateContent>
  <xr:revisionPtr revIDLastSave="1451" documentId="13_ncr:1_{97FA6A14-395E-44B0-8343-D8B8685CD973}" xr6:coauthVersionLast="47" xr6:coauthVersionMax="47" xr10:uidLastSave="{CCAFD6D5-E7B4-423E-9335-873C78C42CDA}"/>
  <bookViews>
    <workbookView minimized="1" xWindow="3492" yWindow="2088" windowWidth="17280" windowHeight="8880" firstSheet="12" activeTab="16" xr2:uid="{00000000-000D-0000-FFFF-FFFF00000000}"/>
  </bookViews>
  <sheets>
    <sheet name="Assessment_Instructions" sheetId="1" r:id="rId1"/>
    <sheet name="Assessment_Tasks" sheetId="7" r:id="rId2"/>
    <sheet name="Fleet_Vehicle_Data" sheetId="2" r:id="rId3"/>
    <sheet name="Trip_Data" sheetId="3" r:id="rId4"/>
    <sheet name="Driver_Data" sheetId="4" r:id="rId5"/>
    <sheet name="Maintenance_Data" sheetId="5" r:id="rId6"/>
    <sheet name="Revenue_Summary_Raw" sheetId="6" r:id="rId7"/>
    <sheet name="Analysis_A1_A2" sheetId="10" r:id="rId8"/>
    <sheet name="Analysis_A3" sheetId="14" r:id="rId9"/>
    <sheet name="Cleaned_Revenue" sheetId="17" r:id="rId10"/>
    <sheet name="Validation_Report" sheetId="18" r:id="rId11"/>
    <sheet name="Pivot_Analysis" sheetId="20" r:id="rId12"/>
    <sheet name="Charts_Data" sheetId="21" r:id="rId13"/>
    <sheet name="Dashboard_Charts" sheetId="23" r:id="rId14"/>
    <sheet name="Fleet_Efficiency" sheetId="26" r:id="rId15"/>
    <sheet name="Scenario_Analysis" sheetId="27" r:id="rId16"/>
    <sheet name="Executive_Summary" sheetId="28" r:id="rId17"/>
  </sheets>
  <definedNames>
    <definedName name="_xlnm._FilterDatabase" localSheetId="4" hidden="1">Driver_Data!$D$1:$M$51</definedName>
    <definedName name="_xlnm._FilterDatabase" localSheetId="2" hidden="1">Fleet_Vehicle_Data!$A$1:$O$31</definedName>
    <definedName name="_xlnm._FilterDatabase" localSheetId="3" hidden="1">Trip_Data!$A$1:$P$101</definedName>
  </definedNames>
  <calcPr calcId="191029"/>
  <pivotCaches>
    <pivotCache cacheId="0" r:id="rId18"/>
    <pivotCache cacheId="1" r:id="rId19"/>
    <pivotCache cacheId="2" r:id="rId20"/>
    <pivotCache cacheId="3" r:id="rId2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6" i="27" l="1"/>
  <c r="B26" i="27"/>
  <c r="E27" i="27"/>
  <c r="B6" i="27"/>
  <c r="E6" i="27"/>
  <c r="B10" i="27"/>
  <c r="N12" i="28"/>
  <c r="C3" i="14"/>
  <c r="B3" i="14"/>
  <c r="N13" i="28"/>
  <c r="N14" i="28"/>
  <c r="K13" i="28" s="1"/>
  <c r="N15" i="28"/>
  <c r="K14" i="28" s="1"/>
  <c r="O7" i="28"/>
  <c r="O6" i="28"/>
  <c r="O5" i="28"/>
  <c r="O4" i="28"/>
  <c r="E49" i="27"/>
  <c r="D27" i="27"/>
  <c r="D28" i="27"/>
  <c r="D29" i="27"/>
  <c r="D30" i="27"/>
  <c r="D31" i="27"/>
  <c r="D32" i="27"/>
  <c r="D33" i="27"/>
  <c r="D34" i="27"/>
  <c r="D35" i="27"/>
  <c r="D36" i="27"/>
  <c r="D37" i="27"/>
  <c r="D38" i="27"/>
  <c r="D39" i="27"/>
  <c r="D40" i="27"/>
  <c r="D41" i="27"/>
  <c r="D42" i="27"/>
  <c r="D43" i="27"/>
  <c r="D44" i="27"/>
  <c r="D45" i="27"/>
  <c r="D46" i="27"/>
  <c r="D47" i="27"/>
  <c r="D48" i="27"/>
  <c r="D49" i="27"/>
  <c r="D50" i="27"/>
  <c r="D51" i="27"/>
  <c r="D52" i="27"/>
  <c r="D53" i="27"/>
  <c r="D54" i="27"/>
  <c r="D55" i="27"/>
  <c r="D26" i="27"/>
  <c r="C27" i="27"/>
  <c r="C28" i="27"/>
  <c r="C29" i="27"/>
  <c r="C30" i="27"/>
  <c r="C31" i="27"/>
  <c r="C32" i="27"/>
  <c r="C33" i="27"/>
  <c r="C34" i="27"/>
  <c r="C35" i="27"/>
  <c r="C36" i="27"/>
  <c r="C37" i="27"/>
  <c r="C38" i="27"/>
  <c r="C39" i="27"/>
  <c r="C40" i="27"/>
  <c r="C41" i="27"/>
  <c r="C42" i="27"/>
  <c r="C43" i="27"/>
  <c r="C44" i="27"/>
  <c r="C45" i="27"/>
  <c r="E45" i="27" s="1"/>
  <c r="C46" i="27"/>
  <c r="C47" i="27"/>
  <c r="C48" i="27"/>
  <c r="C49" i="27"/>
  <c r="C50" i="27"/>
  <c r="C51" i="27"/>
  <c r="C52" i="27"/>
  <c r="C53" i="27"/>
  <c r="C54" i="27"/>
  <c r="C55" i="27"/>
  <c r="C26" i="27"/>
  <c r="B27" i="27"/>
  <c r="B28" i="27"/>
  <c r="B29" i="27"/>
  <c r="B30" i="27"/>
  <c r="B31" i="27"/>
  <c r="E31" i="27" s="1"/>
  <c r="B32" i="27"/>
  <c r="B33" i="27"/>
  <c r="B34" i="27"/>
  <c r="E34" i="27" s="1"/>
  <c r="B35" i="27"/>
  <c r="E35" i="27" s="1"/>
  <c r="B36" i="27"/>
  <c r="B37" i="27"/>
  <c r="E37" i="27" s="1"/>
  <c r="B38" i="27"/>
  <c r="B39" i="27"/>
  <c r="E39" i="27" s="1"/>
  <c r="B40" i="27"/>
  <c r="B41" i="27"/>
  <c r="B42" i="27"/>
  <c r="B43" i="27"/>
  <c r="B44" i="27"/>
  <c r="B45" i="27"/>
  <c r="B46" i="27"/>
  <c r="B47" i="27"/>
  <c r="B48" i="27"/>
  <c r="B49" i="27"/>
  <c r="B50" i="27"/>
  <c r="E50" i="27" s="1"/>
  <c r="B51" i="27"/>
  <c r="E51" i="27" s="1"/>
  <c r="B52" i="27"/>
  <c r="E52" i="27" s="1"/>
  <c r="B53" i="27"/>
  <c r="B54" i="27"/>
  <c r="B55" i="27"/>
  <c r="B12" i="27"/>
  <c r="D100" i="17"/>
  <c r="F100" i="17"/>
  <c r="E100" i="17"/>
  <c r="C100" i="17"/>
  <c r="F3" i="26"/>
  <c r="F4" i="26"/>
  <c r="F5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I3" i="26"/>
  <c r="I4" i="26"/>
  <c r="I5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2" i="26"/>
  <c r="F2" i="26"/>
  <c r="B2" i="26"/>
  <c r="C2" i="26"/>
  <c r="D2" i="26"/>
  <c r="E2" i="26"/>
  <c r="G2" i="26"/>
  <c r="H2" i="26"/>
  <c r="B3" i="26"/>
  <c r="C3" i="26"/>
  <c r="D3" i="26"/>
  <c r="E3" i="26"/>
  <c r="G3" i="26"/>
  <c r="H3" i="26"/>
  <c r="B4" i="26"/>
  <c r="C4" i="26"/>
  <c r="D4" i="26"/>
  <c r="E4" i="26"/>
  <c r="G4" i="26"/>
  <c r="H4" i="26"/>
  <c r="B5" i="26"/>
  <c r="C5" i="26"/>
  <c r="D5" i="26"/>
  <c r="E5" i="26"/>
  <c r="G5" i="26"/>
  <c r="H5" i="26"/>
  <c r="B6" i="26"/>
  <c r="C6" i="26"/>
  <c r="D6" i="26"/>
  <c r="E6" i="26"/>
  <c r="G6" i="26"/>
  <c r="H6" i="26"/>
  <c r="B7" i="26"/>
  <c r="C7" i="26"/>
  <c r="D7" i="26"/>
  <c r="E7" i="26"/>
  <c r="G7" i="26"/>
  <c r="H7" i="26"/>
  <c r="B8" i="26"/>
  <c r="C8" i="26"/>
  <c r="D8" i="26"/>
  <c r="E8" i="26"/>
  <c r="G8" i="26"/>
  <c r="H8" i="26"/>
  <c r="B9" i="26"/>
  <c r="C9" i="26"/>
  <c r="D9" i="26"/>
  <c r="E9" i="26"/>
  <c r="G9" i="26"/>
  <c r="H9" i="26"/>
  <c r="B10" i="26"/>
  <c r="C10" i="26"/>
  <c r="D10" i="26"/>
  <c r="E10" i="26"/>
  <c r="G10" i="26"/>
  <c r="H10" i="26"/>
  <c r="B11" i="26"/>
  <c r="C11" i="26"/>
  <c r="D11" i="26"/>
  <c r="E11" i="26"/>
  <c r="G11" i="26"/>
  <c r="H11" i="26"/>
  <c r="B12" i="26"/>
  <c r="C12" i="26"/>
  <c r="D12" i="26"/>
  <c r="E12" i="26"/>
  <c r="G12" i="26"/>
  <c r="H12" i="26"/>
  <c r="B13" i="26"/>
  <c r="C13" i="26"/>
  <c r="D13" i="26"/>
  <c r="E13" i="26"/>
  <c r="G13" i="26"/>
  <c r="H13" i="26"/>
  <c r="B14" i="26"/>
  <c r="C14" i="26"/>
  <c r="D14" i="26"/>
  <c r="E14" i="26"/>
  <c r="G14" i="26"/>
  <c r="H14" i="26"/>
  <c r="B15" i="26"/>
  <c r="C15" i="26"/>
  <c r="D15" i="26"/>
  <c r="E15" i="26"/>
  <c r="G15" i="26"/>
  <c r="H15" i="26"/>
  <c r="B16" i="26"/>
  <c r="C16" i="26"/>
  <c r="D16" i="26"/>
  <c r="E16" i="26"/>
  <c r="G16" i="26"/>
  <c r="H16" i="26"/>
  <c r="B17" i="26"/>
  <c r="C17" i="26"/>
  <c r="D17" i="26"/>
  <c r="E17" i="26"/>
  <c r="G17" i="26"/>
  <c r="H17" i="26"/>
  <c r="B18" i="26"/>
  <c r="C18" i="26"/>
  <c r="D18" i="26"/>
  <c r="E18" i="26"/>
  <c r="G18" i="26"/>
  <c r="H18" i="26"/>
  <c r="B19" i="26"/>
  <c r="C19" i="26"/>
  <c r="D19" i="26"/>
  <c r="E19" i="26"/>
  <c r="G19" i="26"/>
  <c r="H19" i="26"/>
  <c r="B20" i="26"/>
  <c r="C20" i="26"/>
  <c r="D20" i="26"/>
  <c r="E20" i="26"/>
  <c r="G20" i="26"/>
  <c r="H20" i="26"/>
  <c r="B21" i="26"/>
  <c r="C21" i="26"/>
  <c r="D21" i="26"/>
  <c r="E21" i="26"/>
  <c r="G21" i="26"/>
  <c r="H21" i="26"/>
  <c r="B22" i="26"/>
  <c r="C22" i="26"/>
  <c r="D22" i="26"/>
  <c r="E22" i="26"/>
  <c r="G22" i="26"/>
  <c r="H22" i="26"/>
  <c r="B23" i="26"/>
  <c r="C23" i="26"/>
  <c r="D23" i="26"/>
  <c r="E23" i="26"/>
  <c r="G23" i="26"/>
  <c r="H23" i="26"/>
  <c r="B24" i="26"/>
  <c r="C24" i="26"/>
  <c r="D24" i="26"/>
  <c r="E24" i="26"/>
  <c r="G24" i="26"/>
  <c r="H24" i="26"/>
  <c r="B25" i="26"/>
  <c r="C25" i="26"/>
  <c r="D25" i="26"/>
  <c r="E25" i="26"/>
  <c r="G25" i="26"/>
  <c r="H25" i="26"/>
  <c r="B26" i="26"/>
  <c r="C26" i="26"/>
  <c r="D26" i="26"/>
  <c r="E26" i="26"/>
  <c r="G26" i="26"/>
  <c r="H26" i="26"/>
  <c r="B27" i="26"/>
  <c r="C27" i="26"/>
  <c r="D27" i="26"/>
  <c r="E27" i="26"/>
  <c r="G27" i="26"/>
  <c r="H27" i="26"/>
  <c r="B28" i="26"/>
  <c r="C28" i="26"/>
  <c r="D28" i="26"/>
  <c r="E28" i="26"/>
  <c r="G28" i="26"/>
  <c r="H28" i="26"/>
  <c r="B29" i="26"/>
  <c r="C29" i="26"/>
  <c r="D29" i="26"/>
  <c r="E29" i="26"/>
  <c r="G29" i="26"/>
  <c r="H29" i="26"/>
  <c r="B30" i="26"/>
  <c r="C30" i="26"/>
  <c r="D30" i="26"/>
  <c r="E30" i="26"/>
  <c r="G30" i="26"/>
  <c r="H30" i="26"/>
  <c r="B31" i="26"/>
  <c r="C31" i="26"/>
  <c r="D31" i="26"/>
  <c r="E31" i="26"/>
  <c r="G31" i="26"/>
  <c r="H31" i="26"/>
  <c r="J2" i="26"/>
  <c r="J22" i="26"/>
  <c r="J28" i="26"/>
  <c r="J29" i="26"/>
  <c r="J30" i="26"/>
  <c r="J31" i="26"/>
  <c r="J3" i="26"/>
  <c r="J4" i="26"/>
  <c r="J5" i="26"/>
  <c r="J6" i="26"/>
  <c r="J7" i="26"/>
  <c r="J8" i="26"/>
  <c r="J9" i="26"/>
  <c r="J11" i="26"/>
  <c r="J12" i="26"/>
  <c r="J13" i="26"/>
  <c r="J14" i="26"/>
  <c r="J15" i="26"/>
  <c r="J16" i="26"/>
  <c r="J17" i="26"/>
  <c r="J18" i="26"/>
  <c r="J19" i="26"/>
  <c r="J20" i="26"/>
  <c r="J21" i="26"/>
  <c r="J23" i="26"/>
  <c r="J24" i="26"/>
  <c r="J25" i="26"/>
  <c r="J26" i="26"/>
  <c r="J27" i="26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2" i="5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2" i="3"/>
  <c r="N3" i="17"/>
  <c r="N4" i="17"/>
  <c r="N5" i="17"/>
  <c r="N6" i="17"/>
  <c r="N7" i="17"/>
  <c r="N8" i="17"/>
  <c r="N9" i="17"/>
  <c r="N10" i="17"/>
  <c r="N11" i="17"/>
  <c r="N12" i="17"/>
  <c r="N13" i="17"/>
  <c r="N14" i="17"/>
  <c r="N15" i="17"/>
  <c r="N16" i="17"/>
  <c r="N17" i="17"/>
  <c r="N18" i="17"/>
  <c r="N19" i="17"/>
  <c r="N20" i="17"/>
  <c r="N21" i="17"/>
  <c r="N22" i="17"/>
  <c r="N23" i="17"/>
  <c r="N24" i="17"/>
  <c r="N25" i="17"/>
  <c r="N26" i="17"/>
  <c r="N27" i="17"/>
  <c r="N28" i="17"/>
  <c r="N29" i="17"/>
  <c r="N30" i="17"/>
  <c r="N31" i="17"/>
  <c r="N32" i="17"/>
  <c r="N33" i="17"/>
  <c r="N34" i="17"/>
  <c r="N35" i="17"/>
  <c r="N36" i="17"/>
  <c r="N37" i="17"/>
  <c r="N38" i="17"/>
  <c r="N39" i="17"/>
  <c r="N40" i="17"/>
  <c r="N41" i="17"/>
  <c r="N42" i="17"/>
  <c r="N43" i="17"/>
  <c r="N44" i="17"/>
  <c r="N45" i="17"/>
  <c r="N46" i="17"/>
  <c r="N47" i="17"/>
  <c r="N48" i="17"/>
  <c r="N49" i="17"/>
  <c r="N50" i="17"/>
  <c r="N51" i="17"/>
  <c r="N52" i="17"/>
  <c r="N53" i="17"/>
  <c r="N54" i="17"/>
  <c r="N55" i="17"/>
  <c r="N56" i="17"/>
  <c r="N57" i="17"/>
  <c r="N58" i="17"/>
  <c r="N59" i="17"/>
  <c r="N60" i="17"/>
  <c r="N61" i="17"/>
  <c r="N62" i="17"/>
  <c r="N63" i="17"/>
  <c r="N64" i="17"/>
  <c r="N65" i="17"/>
  <c r="N66" i="17"/>
  <c r="N67" i="17"/>
  <c r="N68" i="17"/>
  <c r="N69" i="17"/>
  <c r="N70" i="17"/>
  <c r="N71" i="17"/>
  <c r="N72" i="17"/>
  <c r="N73" i="17"/>
  <c r="N74" i="17"/>
  <c r="N75" i="17"/>
  <c r="N76" i="17"/>
  <c r="N77" i="17"/>
  <c r="N78" i="17"/>
  <c r="N79" i="17"/>
  <c r="N80" i="17"/>
  <c r="N81" i="17"/>
  <c r="N82" i="17"/>
  <c r="N83" i="17"/>
  <c r="N84" i="17"/>
  <c r="N85" i="17"/>
  <c r="N86" i="17"/>
  <c r="N87" i="17"/>
  <c r="N88" i="17"/>
  <c r="N89" i="17"/>
  <c r="N90" i="17"/>
  <c r="N91" i="17"/>
  <c r="N92" i="17"/>
  <c r="N93" i="17"/>
  <c r="N94" i="17"/>
  <c r="N95" i="17"/>
  <c r="N96" i="17"/>
  <c r="N97" i="17"/>
  <c r="N2" i="17"/>
  <c r="M3" i="17"/>
  <c r="M4" i="17"/>
  <c r="M5" i="17"/>
  <c r="M6" i="17"/>
  <c r="M7" i="17"/>
  <c r="M8" i="17"/>
  <c r="M9" i="17"/>
  <c r="M10" i="17"/>
  <c r="M11" i="17"/>
  <c r="M12" i="17"/>
  <c r="M13" i="17"/>
  <c r="M14" i="17"/>
  <c r="M15" i="17"/>
  <c r="M16" i="17"/>
  <c r="M17" i="17"/>
  <c r="M18" i="17"/>
  <c r="M19" i="17"/>
  <c r="M20" i="17"/>
  <c r="M21" i="17"/>
  <c r="M22" i="17"/>
  <c r="M23" i="17"/>
  <c r="M24" i="17"/>
  <c r="M25" i="17"/>
  <c r="M26" i="17"/>
  <c r="M27" i="17"/>
  <c r="M28" i="17"/>
  <c r="M29" i="17"/>
  <c r="M30" i="17"/>
  <c r="M31" i="17"/>
  <c r="M32" i="17"/>
  <c r="M33" i="17"/>
  <c r="M34" i="17"/>
  <c r="M35" i="17"/>
  <c r="M36" i="17"/>
  <c r="M37" i="17"/>
  <c r="M38" i="17"/>
  <c r="M39" i="17"/>
  <c r="M40" i="17"/>
  <c r="M41" i="17"/>
  <c r="M42" i="17"/>
  <c r="M43" i="17"/>
  <c r="M44" i="17"/>
  <c r="M45" i="17"/>
  <c r="M46" i="17"/>
  <c r="M47" i="17"/>
  <c r="M48" i="17"/>
  <c r="M49" i="17"/>
  <c r="M50" i="17"/>
  <c r="M51" i="17"/>
  <c r="M52" i="17"/>
  <c r="M53" i="17"/>
  <c r="M54" i="17"/>
  <c r="M55" i="17"/>
  <c r="M56" i="17"/>
  <c r="M57" i="17"/>
  <c r="M58" i="17"/>
  <c r="M59" i="17"/>
  <c r="M60" i="17"/>
  <c r="M61" i="17"/>
  <c r="M62" i="17"/>
  <c r="M63" i="17"/>
  <c r="M64" i="17"/>
  <c r="M65" i="17"/>
  <c r="M66" i="17"/>
  <c r="M67" i="17"/>
  <c r="M68" i="17"/>
  <c r="M69" i="17"/>
  <c r="M70" i="17"/>
  <c r="M71" i="17"/>
  <c r="M72" i="17"/>
  <c r="M73" i="17"/>
  <c r="M74" i="17"/>
  <c r="M75" i="17"/>
  <c r="M76" i="17"/>
  <c r="M77" i="17"/>
  <c r="M78" i="17"/>
  <c r="M79" i="17"/>
  <c r="M80" i="17"/>
  <c r="M81" i="17"/>
  <c r="M82" i="17"/>
  <c r="M83" i="17"/>
  <c r="M84" i="17"/>
  <c r="M85" i="17"/>
  <c r="M86" i="17"/>
  <c r="M87" i="17"/>
  <c r="M88" i="17"/>
  <c r="M89" i="17"/>
  <c r="M90" i="17"/>
  <c r="M91" i="17"/>
  <c r="M92" i="17"/>
  <c r="M93" i="17"/>
  <c r="M94" i="17"/>
  <c r="M95" i="17"/>
  <c r="M96" i="17"/>
  <c r="M97" i="17"/>
  <c r="M2" i="17"/>
  <c r="L3" i="17"/>
  <c r="L4" i="17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30" i="17"/>
  <c r="L31" i="17"/>
  <c r="L32" i="17"/>
  <c r="L33" i="17"/>
  <c r="L34" i="17"/>
  <c r="L35" i="17"/>
  <c r="L36" i="17"/>
  <c r="L37" i="17"/>
  <c r="L38" i="17"/>
  <c r="L39" i="17"/>
  <c r="L40" i="17"/>
  <c r="L41" i="17"/>
  <c r="L42" i="17"/>
  <c r="L43" i="17"/>
  <c r="L44" i="17"/>
  <c r="L45" i="17"/>
  <c r="L46" i="17"/>
  <c r="L47" i="17"/>
  <c r="L48" i="17"/>
  <c r="L49" i="17"/>
  <c r="L50" i="17"/>
  <c r="L51" i="17"/>
  <c r="L52" i="17"/>
  <c r="L53" i="17"/>
  <c r="L54" i="17"/>
  <c r="L55" i="17"/>
  <c r="L56" i="17"/>
  <c r="L57" i="17"/>
  <c r="L58" i="17"/>
  <c r="L59" i="17"/>
  <c r="L60" i="17"/>
  <c r="L61" i="17"/>
  <c r="L62" i="17"/>
  <c r="L63" i="17"/>
  <c r="L64" i="17"/>
  <c r="L65" i="17"/>
  <c r="L66" i="17"/>
  <c r="L67" i="17"/>
  <c r="L68" i="17"/>
  <c r="L69" i="17"/>
  <c r="L70" i="17"/>
  <c r="L71" i="17"/>
  <c r="L72" i="17"/>
  <c r="L73" i="17"/>
  <c r="L74" i="17"/>
  <c r="L75" i="17"/>
  <c r="L76" i="17"/>
  <c r="L77" i="17"/>
  <c r="L78" i="17"/>
  <c r="L79" i="17"/>
  <c r="L80" i="17"/>
  <c r="L81" i="17"/>
  <c r="L82" i="17"/>
  <c r="L83" i="17"/>
  <c r="L84" i="17"/>
  <c r="L85" i="17"/>
  <c r="L86" i="17"/>
  <c r="L87" i="17"/>
  <c r="L88" i="17"/>
  <c r="L89" i="17"/>
  <c r="L90" i="17"/>
  <c r="L91" i="17"/>
  <c r="L92" i="17"/>
  <c r="L93" i="17"/>
  <c r="L94" i="17"/>
  <c r="L95" i="17"/>
  <c r="L96" i="17"/>
  <c r="L97" i="17"/>
  <c r="L2" i="17"/>
  <c r="D4" i="14"/>
  <c r="E3" i="14"/>
  <c r="E4" i="14"/>
  <c r="E5" i="14"/>
  <c r="E6" i="14"/>
  <c r="E7" i="14"/>
  <c r="E8" i="14"/>
  <c r="D5" i="14"/>
  <c r="D6" i="14"/>
  <c r="D7" i="14"/>
  <c r="D8" i="14"/>
  <c r="D3" i="14"/>
  <c r="C4" i="14"/>
  <c r="C5" i="14"/>
  <c r="C6" i="14"/>
  <c r="C7" i="14"/>
  <c r="C8" i="14"/>
  <c r="B4" i="14"/>
  <c r="B5" i="14"/>
  <c r="B6" i="14"/>
  <c r="B7" i="14"/>
  <c r="B8" i="14"/>
  <c r="B25" i="10"/>
  <c r="B24" i="10"/>
  <c r="B23" i="10"/>
  <c r="B22" i="10"/>
  <c r="B21" i="10"/>
  <c r="B13" i="10"/>
  <c r="B14" i="10"/>
  <c r="B15" i="10"/>
  <c r="B12" i="10"/>
  <c r="E13" i="10"/>
  <c r="E14" i="10"/>
  <c r="E15" i="10"/>
  <c r="E4" i="10"/>
  <c r="E5" i="10"/>
  <c r="E6" i="10"/>
  <c r="E7" i="10"/>
  <c r="E8" i="10"/>
  <c r="E3" i="10"/>
  <c r="E12" i="10"/>
  <c r="B4" i="10"/>
  <c r="B5" i="10"/>
  <c r="B6" i="10"/>
  <c r="B7" i="10"/>
  <c r="B8" i="10"/>
  <c r="B3" i="10"/>
  <c r="K12" i="28" l="1"/>
  <c r="E38" i="27"/>
  <c r="E54" i="27"/>
  <c r="E42" i="27"/>
  <c r="E30" i="27"/>
  <c r="E48" i="27"/>
  <c r="E36" i="27"/>
  <c r="E33" i="27"/>
  <c r="E53" i="27"/>
  <c r="E41" i="27"/>
  <c r="E47" i="27"/>
  <c r="E40" i="27"/>
  <c r="E28" i="27"/>
  <c r="E46" i="27"/>
  <c r="E29" i="27"/>
  <c r="E44" i="27"/>
  <c r="E32" i="27"/>
  <c r="E55" i="27"/>
  <c r="E43" i="27"/>
  <c r="C12" i="27"/>
  <c r="B11" i="27"/>
  <c r="C11" i="27" s="1"/>
  <c r="B19" i="27"/>
  <c r="C19" i="27" s="1"/>
  <c r="C10" i="27"/>
  <c r="B21" i="27"/>
  <c r="C21" i="27" s="1"/>
  <c r="B20" i="27"/>
  <c r="C20" i="27" s="1"/>
  <c r="J10" i="26"/>
</calcChain>
</file>

<file path=xl/sharedStrings.xml><?xml version="1.0" encoding="utf-8"?>
<sst xmlns="http://schemas.openxmlformats.org/spreadsheetml/2006/main" count="2936" uniqueCount="767">
  <si>
    <t>CANDIDATE INFORMATION</t>
  </si>
  <si>
    <t>Candidate Name:</t>
  </si>
  <si>
    <t>Date:</t>
  </si>
  <si>
    <t>Position:</t>
  </si>
  <si>
    <t>Time Allowed:</t>
  </si>
  <si>
    <t>90 Minutes</t>
  </si>
  <si>
    <t>GENERAL INSTRUCTIONS</t>
  </si>
  <si>
    <t>1. This workbook contains 5 data sheets: Fleet_Vehicle_Data, Trip_Data, Driver_Data, Maintenance_Data, and Revenue_Summary_Raw.</t>
  </si>
  <si>
    <t>2. Create your answers in NEW sheets within this workbook. Name them as specified in each task.</t>
  </si>
  <si>
    <t>3. Use proper formatting, number formats (₹ for currency), and conditional formatting where appropriate.</t>
  </si>
  <si>
    <t>4. Show all formulas - do NOT paste values only unless specifically asked.</t>
  </si>
  <si>
    <t>5. Charts should have proper titles, axis labels, legends, and data labels.</t>
  </si>
  <si>
    <t>6. Save your work frequently. Submit the completed workbook.</t>
  </si>
  <si>
    <t>7. Partial marks will be awarded for partially correct answers.</t>
  </si>
  <si>
    <t>8. You may use any Excel functions including VLOOKUP, INDEX-MATCH, SUMIFS, Pivot Tables, etc.</t>
  </si>
  <si>
    <t>ASSESSMENT TASKS</t>
  </si>
  <si>
    <t>SECTION A: DATA ANALYSIS &amp; FORMULAS</t>
  </si>
  <si>
    <t>Task A1</t>
  </si>
  <si>
    <t>Task A2</t>
  </si>
  <si>
    <t>In the same sheet, create a section that uses VLOOKUP/INDEX-MATCH to:
- Allow user to enter a Vehicle_ID and auto-populate: Make, Model, City, Status, Monthly Revenue
- Create a dropdown validation for Vehicle_ID selection</t>
  </si>
  <si>
    <t>Task A3</t>
  </si>
  <si>
    <t>SECTION B: DATA CLEANING &amp; VALIDATION</t>
  </si>
  <si>
    <t>Task B1</t>
  </si>
  <si>
    <t>In 'Revenue_Summary_Raw', the Profit column has errors.
Create a new sheet 'Cleaned_Revenue' where:
- Recalculate Profit = Revenue - Fuel_Cost - Maintenance_Cost - Driver_Cost
- Add a column 'Profit_Margin_%' = (Profit/Revenue)*100
- Add a column 'Error_Flag' that shows 'ERROR' if original Profit ≠ Recalculated Profit (tolerance ±1)
- Highlight all error rows in RED</t>
  </si>
  <si>
    <t>Task B2</t>
  </si>
  <si>
    <t>Create a new sheet 'Validation_Report' containing:
- List of vehicles with Odometer &gt; 80,000 km (flag for replacement review)
- Drivers with Violations &gt; 5 AND Rating &lt; 4.0 (flag for review)
- Vehicles with 'Electric' fuel type but non-zero mileage_kmpl (data error)
- Trips where Duration &lt; Distance/60 (impossible speed &gt; 60 km/min)
Format as a professional report with color-coded severity.</t>
  </si>
  <si>
    <t>SECTION C: PIVOT TABLES &amp; CHARTS</t>
  </si>
  <si>
    <t>Task C1</t>
  </si>
  <si>
    <t>Create a new sheet 'Pivot_Analysis'. Build the following Pivot Tables:
PT1: Revenue by City and Month (with Grand Totals)
PT2: Average Rating by Service Type and City
PT3: Maintenance Cost by Vehicle Make and Maintenance Type
Apply proper formatting and Pivot Table styles.</t>
  </si>
  <si>
    <t>Task C2</t>
  </si>
  <si>
    <t>Create a new sheet 'Dashboard_Charts'. Build these charts:
Chart 1: Clustered Bar - Revenue comparison across cities by service type
Chart 2: Pie Chart - Fleet composition by fuel type
Chart 3: Line Chart - Monthly revenue trend by city
Chart 4: Combo Chart - Trips vs Revenue by city (dual axis)
All charts must have titles, labels, legends, and professional formatting.</t>
  </si>
  <si>
    <t>SECTION D: ADVANCED ANALYSIS</t>
  </si>
  <si>
    <t>Task D1</t>
  </si>
  <si>
    <t>Create a sheet 'Fleet_Efficiency'. Calculate:
- Revenue per km for each vehicle (using Trip_Data)
- Cost efficiency = (Maintenance_Cost / Revenue) × 100 for each vehicle
- Driver utilization = (Active_Trips / Total_Possible_Trips) assuming 8 trips/day
- Rank vehicles using the RANK function
- Apply conditional formatting: Green (top 25%), Yellow (middle 50%), Red (bottom 25%)</t>
  </si>
  <si>
    <t>Task D2</t>
  </si>
  <si>
    <t>Create a sheet 'Scenario_Analysis':
- Build a what-if model: If fuel prices increase by 10%, 20%, 30% - calculate impact on profit
- Use Data Tables (one-variable) to show profit at different surge multiplier levels (1.0 to 2.5)
- Calculate break-even trip count per vehicle per month
- Use Goal Seek or Solver setup (describe approach if Solver unavailable)</t>
  </si>
  <si>
    <t>SECTION E: FORMATTING &amp; PRESENTATION</t>
  </si>
  <si>
    <t>Task E1</t>
  </si>
  <si>
    <t>Create an 'Executive_Summary' sheet:
- Professional header with company logo placeholder
- KPI cards showing: Total Fleet Size, Active Vehicles, Total Revenue, Avg Rating
- Month-over-month growth indicators with UP/DOWN arrows (▲/▼)
- Top 5 and Bottom 5 performing vehicles
- Use shapes, borders, colors, and conditional formatting creatively</t>
  </si>
  <si>
    <t>Vehicle_ID</t>
  </si>
  <si>
    <t>Make</t>
  </si>
  <si>
    <t>Model</t>
  </si>
  <si>
    <t>Year</t>
  </si>
  <si>
    <t>Body_Type</t>
  </si>
  <si>
    <t>Fuel_Type</t>
  </si>
  <si>
    <t>Odometer_km</t>
  </si>
  <si>
    <t>Status</t>
  </si>
  <si>
    <t>City</t>
  </si>
  <si>
    <t>Service_Type</t>
  </si>
  <si>
    <t>Mileage_kmpl</t>
  </si>
  <si>
    <t>Last_Service_Date</t>
  </si>
  <si>
    <t>Monthly_Revenue_INR</t>
  </si>
  <si>
    <t>Insurance_Premium_INR</t>
  </si>
  <si>
    <t>Driver_Rating</t>
  </si>
  <si>
    <t>VH001</t>
  </si>
  <si>
    <t>Toyota</t>
  </si>
  <si>
    <t>Camry</t>
  </si>
  <si>
    <t>Sedan</t>
  </si>
  <si>
    <t>Petrol</t>
  </si>
  <si>
    <t>Active</t>
  </si>
  <si>
    <t>Mumbai</t>
  </si>
  <si>
    <t>Corporate</t>
  </si>
  <si>
    <t>2024-01-15</t>
  </si>
  <si>
    <t>VH002</t>
  </si>
  <si>
    <t>Hyundai</t>
  </si>
  <si>
    <t>Creta</t>
  </si>
  <si>
    <t>SUV</t>
  </si>
  <si>
    <t>Diesel</t>
  </si>
  <si>
    <t>Delhi</t>
  </si>
  <si>
    <t>2024-02-20</t>
  </si>
  <si>
    <t>VH003</t>
  </si>
  <si>
    <t>Maruti</t>
  </si>
  <si>
    <t>Swift Dzire</t>
  </si>
  <si>
    <t>CNG</t>
  </si>
  <si>
    <t>Bangalore</t>
  </si>
  <si>
    <t>Ride-Hailing</t>
  </si>
  <si>
    <t>2023-11-10</t>
  </si>
  <si>
    <t>VH004</t>
  </si>
  <si>
    <t>Tata</t>
  </si>
  <si>
    <t>Nexon EV</t>
  </si>
  <si>
    <t>Electric</t>
  </si>
  <si>
    <t>Hyderabad</t>
  </si>
  <si>
    <t>Last-Mile</t>
  </si>
  <si>
    <t>2024-03-05</t>
  </si>
  <si>
    <t>VH005</t>
  </si>
  <si>
    <t>Mahindra</t>
  </si>
  <si>
    <t>XUV700</t>
  </si>
  <si>
    <t>Under Maintenance</t>
  </si>
  <si>
    <t>Pune</t>
  </si>
  <si>
    <t>2024-01-28</t>
  </si>
  <si>
    <t>VH006</t>
  </si>
  <si>
    <t>Honda</t>
  </si>
  <si>
    <t>Chennai</t>
  </si>
  <si>
    <t>2023-12-15</t>
  </si>
  <si>
    <t>VH007</t>
  </si>
  <si>
    <t>Kia</t>
  </si>
  <si>
    <t>Seltos</t>
  </si>
  <si>
    <t>2024-04-01</t>
  </si>
  <si>
    <t>VH008</t>
  </si>
  <si>
    <t>MG</t>
  </si>
  <si>
    <t>ZS EV</t>
  </si>
  <si>
    <t>2024-02-10</t>
  </si>
  <si>
    <t>VH009</t>
  </si>
  <si>
    <t>Ertiga</t>
  </si>
  <si>
    <t>MPV</t>
  </si>
  <si>
    <t>Shuttle</t>
  </si>
  <si>
    <t>2023-10-20</t>
  </si>
  <si>
    <t>VH010</t>
  </si>
  <si>
    <t>Innova Crysta</t>
  </si>
  <si>
    <t>2023-09-15</t>
  </si>
  <si>
    <t>VH011</t>
  </si>
  <si>
    <t>Aura</t>
  </si>
  <si>
    <t>2024-01-05</t>
  </si>
  <si>
    <t>VH012</t>
  </si>
  <si>
    <t>Tigor EV</t>
  </si>
  <si>
    <t>2024-03-20</t>
  </si>
  <si>
    <t>VH013</t>
  </si>
  <si>
    <t>Scorpio</t>
  </si>
  <si>
    <t>2023-08-10</t>
  </si>
  <si>
    <t>VH014</t>
  </si>
  <si>
    <t>Amaze</t>
  </si>
  <si>
    <t>2023-12-01</t>
  </si>
  <si>
    <t>VH015</t>
  </si>
  <si>
    <t>Carnival</t>
  </si>
  <si>
    <t>2024-02-28</t>
  </si>
  <si>
    <t>VH016</t>
  </si>
  <si>
    <t>Punch</t>
  </si>
  <si>
    <t>2024-04-10</t>
  </si>
  <si>
    <t>VH017</t>
  </si>
  <si>
    <t>Ciaz</t>
  </si>
  <si>
    <t>Decommissioned</t>
  </si>
  <si>
    <t>2023-07-15</t>
  </si>
  <si>
    <t>VH018</t>
  </si>
  <si>
    <t>Venue</t>
  </si>
  <si>
    <t>2024-01-18</t>
  </si>
  <si>
    <t>VH019</t>
  </si>
  <si>
    <t>Fortuner</t>
  </si>
  <si>
    <t>2023-11-25</t>
  </si>
  <si>
    <t>VH020</t>
  </si>
  <si>
    <t>Hector</t>
  </si>
  <si>
    <t>2024-03-12</t>
  </si>
  <si>
    <t>VH021</t>
  </si>
  <si>
    <t>Nexon</t>
  </si>
  <si>
    <t>2023-12-20</t>
  </si>
  <si>
    <t>VH022</t>
  </si>
  <si>
    <t>Brezza</t>
  </si>
  <si>
    <t>2024-04-05</t>
  </si>
  <si>
    <t>VH023</t>
  </si>
  <si>
    <t>i20</t>
  </si>
  <si>
    <t>Hatchback</t>
  </si>
  <si>
    <t>2023-10-10</t>
  </si>
  <si>
    <t>VH024</t>
  </si>
  <si>
    <t>Sonet</t>
  </si>
  <si>
    <t>2024-02-05</t>
  </si>
  <si>
    <t>VH025</t>
  </si>
  <si>
    <t>Altroz</t>
  </si>
  <si>
    <t>2023-09-28</t>
  </si>
  <si>
    <t>VH026</t>
  </si>
  <si>
    <t>BYD</t>
  </si>
  <si>
    <t>e6</t>
  </si>
  <si>
    <t>2024-03-15</t>
  </si>
  <si>
    <t>VH027</t>
  </si>
  <si>
    <t>Bolero</t>
  </si>
  <si>
    <t>2023-06-20</t>
  </si>
  <si>
    <t>VH028</t>
  </si>
  <si>
    <t>Wagon R</t>
  </si>
  <si>
    <t>2024-01-22</t>
  </si>
  <si>
    <t>VH029</t>
  </si>
  <si>
    <t>WR-V</t>
  </si>
  <si>
    <t>2023-08-30</t>
  </si>
  <si>
    <t>VH030</t>
  </si>
  <si>
    <t>Glanza</t>
  </si>
  <si>
    <t>2024-04-15</t>
  </si>
  <si>
    <t>Trip_ID</t>
  </si>
  <si>
    <t>Driver_ID</t>
  </si>
  <si>
    <t>Trip_Date</t>
  </si>
  <si>
    <t>Distance_km</t>
  </si>
  <si>
    <t>Duration_min</t>
  </si>
  <si>
    <t>Base_Fare_INR</t>
  </si>
  <si>
    <t>Surge_Multiplier</t>
  </si>
  <si>
    <t>Total_Fare_INR</t>
  </si>
  <si>
    <t>Payment_Mode</t>
  </si>
  <si>
    <t>Customer_Rating</t>
  </si>
  <si>
    <t>Wait_Time_min</t>
  </si>
  <si>
    <t>Cancelled</t>
  </si>
  <si>
    <t>TR0001</t>
  </si>
  <si>
    <t>DR008</t>
  </si>
  <si>
    <t>2024-01-24</t>
  </si>
  <si>
    <t>Corporate Account</t>
  </si>
  <si>
    <t>No</t>
  </si>
  <si>
    <t>TR0002</t>
  </si>
  <si>
    <t>DR033</t>
  </si>
  <si>
    <t>UPI</t>
  </si>
  <si>
    <t>TR0003</t>
  </si>
  <si>
    <t>DR022</t>
  </si>
  <si>
    <t>2024-01-03</t>
  </si>
  <si>
    <t>TR0004</t>
  </si>
  <si>
    <t>DR019</t>
  </si>
  <si>
    <t>2024-03-19</t>
  </si>
  <si>
    <t>Cash</t>
  </si>
  <si>
    <t>TR0005</t>
  </si>
  <si>
    <t>DR011</t>
  </si>
  <si>
    <t>TR0006</t>
  </si>
  <si>
    <t>DR041</t>
  </si>
  <si>
    <t>2024-02-22</t>
  </si>
  <si>
    <t>TR0007</t>
  </si>
  <si>
    <t>DR042</t>
  </si>
  <si>
    <t>Wallet</t>
  </si>
  <si>
    <t>TR0008</t>
  </si>
  <si>
    <t>DR032</t>
  </si>
  <si>
    <t>2024-01-25</t>
  </si>
  <si>
    <t>Yes</t>
  </si>
  <si>
    <t>TR0009</t>
  </si>
  <si>
    <t>DR017</t>
  </si>
  <si>
    <t>Card</t>
  </si>
  <si>
    <t>TR0010</t>
  </si>
  <si>
    <t>DR047</t>
  </si>
  <si>
    <t>2024-03-17</t>
  </si>
  <si>
    <t>TR0011</t>
  </si>
  <si>
    <t>DR001</t>
  </si>
  <si>
    <t>2024-03-16</t>
  </si>
  <si>
    <t>TR0012</t>
  </si>
  <si>
    <t>2024-04-27</t>
  </si>
  <si>
    <t>TR0013</t>
  </si>
  <si>
    <t>2024-02-23</t>
  </si>
  <si>
    <t>TR0014</t>
  </si>
  <si>
    <t>DR015</t>
  </si>
  <si>
    <t>2024-02-01</t>
  </si>
  <si>
    <t>TR0015</t>
  </si>
  <si>
    <t>DR037</t>
  </si>
  <si>
    <t>2024-04-08</t>
  </si>
  <si>
    <t>TR0016</t>
  </si>
  <si>
    <t>DR007</t>
  </si>
  <si>
    <t>2024-02-07</t>
  </si>
  <si>
    <t>TR0017</t>
  </si>
  <si>
    <t>DR035</t>
  </si>
  <si>
    <t>TR0018</t>
  </si>
  <si>
    <t>DR030</t>
  </si>
  <si>
    <t>2024-03-14</t>
  </si>
  <si>
    <t>TR0019</t>
  </si>
  <si>
    <t>DR034</t>
  </si>
  <si>
    <t>2024-02-02</t>
  </si>
  <si>
    <t>TR0020</t>
  </si>
  <si>
    <t>DR003</t>
  </si>
  <si>
    <t>2024-01-14</t>
  </si>
  <si>
    <t>TR0021</t>
  </si>
  <si>
    <t>DR005</t>
  </si>
  <si>
    <t>TR0022</t>
  </si>
  <si>
    <t>DR046</t>
  </si>
  <si>
    <t>TR0023</t>
  </si>
  <si>
    <t>DR018</t>
  </si>
  <si>
    <t>TR0024</t>
  </si>
  <si>
    <t>2024-03-25</t>
  </si>
  <si>
    <t>TR0025</t>
  </si>
  <si>
    <t>DR036</t>
  </si>
  <si>
    <t>2024-02-14</t>
  </si>
  <si>
    <t>TR0026</t>
  </si>
  <si>
    <t>DR027</t>
  </si>
  <si>
    <t>2024-02-08</t>
  </si>
  <si>
    <t>TR0027</t>
  </si>
  <si>
    <t>TR0028</t>
  </si>
  <si>
    <t>2024-03-21</t>
  </si>
  <si>
    <t>TR0029</t>
  </si>
  <si>
    <t>2024-01-20</t>
  </si>
  <si>
    <t>TR0030</t>
  </si>
  <si>
    <t>2024-02-12</t>
  </si>
  <si>
    <t>TR0031</t>
  </si>
  <si>
    <t>DR021</t>
  </si>
  <si>
    <t>2024-04-23</t>
  </si>
  <si>
    <t>TR0032</t>
  </si>
  <si>
    <t>2024-03-10</t>
  </si>
  <si>
    <t>TR0033</t>
  </si>
  <si>
    <t>DR048</t>
  </si>
  <si>
    <t>TR0034</t>
  </si>
  <si>
    <t>2024-02-16</t>
  </si>
  <si>
    <t>TR0035</t>
  </si>
  <si>
    <t>DR049</t>
  </si>
  <si>
    <t>TR0036</t>
  </si>
  <si>
    <t>TR0037</t>
  </si>
  <si>
    <t>DR050</t>
  </si>
  <si>
    <t>2024-04-21</t>
  </si>
  <si>
    <t>TR0038</t>
  </si>
  <si>
    <t>2024-02-03</t>
  </si>
  <si>
    <t>TR0039</t>
  </si>
  <si>
    <t>DR031</t>
  </si>
  <si>
    <t>2024-01-12</t>
  </si>
  <si>
    <t>TR0040</t>
  </si>
  <si>
    <t>DR002</t>
  </si>
  <si>
    <t>2024-04-11</t>
  </si>
  <si>
    <t>TR0041</t>
  </si>
  <si>
    <t>TR0042</t>
  </si>
  <si>
    <t>DR006</t>
  </si>
  <si>
    <t>TR0043</t>
  </si>
  <si>
    <t>DR040</t>
  </si>
  <si>
    <t>TR0044</t>
  </si>
  <si>
    <t>TR0045</t>
  </si>
  <si>
    <t>2024-03-28</t>
  </si>
  <si>
    <t>TR0046</t>
  </si>
  <si>
    <t>2024-04-04</t>
  </si>
  <si>
    <t>TR0047</t>
  </si>
  <si>
    <t>2024-04-14</t>
  </si>
  <si>
    <t>TR0048</t>
  </si>
  <si>
    <t>2024-04-28</t>
  </si>
  <si>
    <t>TR0049</t>
  </si>
  <si>
    <t>2024-02-24</t>
  </si>
  <si>
    <t>TR0050</t>
  </si>
  <si>
    <t>DR020</t>
  </si>
  <si>
    <t>TR0051</t>
  </si>
  <si>
    <t>TR0052</t>
  </si>
  <si>
    <t>2024-02-09</t>
  </si>
  <si>
    <t>TR0053</t>
  </si>
  <si>
    <t>TR0054</t>
  </si>
  <si>
    <t>2024-02-04</t>
  </si>
  <si>
    <t>TR0055</t>
  </si>
  <si>
    <t>TR0056</t>
  </si>
  <si>
    <t>DR029</t>
  </si>
  <si>
    <t>TR0057</t>
  </si>
  <si>
    <t>DR013</t>
  </si>
  <si>
    <t>TR0058</t>
  </si>
  <si>
    <t>TR0059</t>
  </si>
  <si>
    <t>TR0060</t>
  </si>
  <si>
    <t>DR012</t>
  </si>
  <si>
    <t>TR0061</t>
  </si>
  <si>
    <t>TR0062</t>
  </si>
  <si>
    <t>TR0063</t>
  </si>
  <si>
    <t>DR016</t>
  </si>
  <si>
    <t>TR0064</t>
  </si>
  <si>
    <t>TR0065</t>
  </si>
  <si>
    <t>2024-03-27</t>
  </si>
  <si>
    <t>TR0066</t>
  </si>
  <si>
    <t>TR0067</t>
  </si>
  <si>
    <t>DR025</t>
  </si>
  <si>
    <t>2024-04-22</t>
  </si>
  <si>
    <t>TR0068</t>
  </si>
  <si>
    <t>TR0069</t>
  </si>
  <si>
    <t>TR0070</t>
  </si>
  <si>
    <t>2024-04-06</t>
  </si>
  <si>
    <t>TR0071</t>
  </si>
  <si>
    <t>2024-02-06</t>
  </si>
  <si>
    <t>TR0072</t>
  </si>
  <si>
    <t>2024-03-22</t>
  </si>
  <si>
    <t>TR0073</t>
  </si>
  <si>
    <t>2024-01-08</t>
  </si>
  <si>
    <t>TR0074</t>
  </si>
  <si>
    <t>TR0075</t>
  </si>
  <si>
    <t>2024-02-21</t>
  </si>
  <si>
    <t>TR0076</t>
  </si>
  <si>
    <t>TR0077</t>
  </si>
  <si>
    <t>DR010</t>
  </si>
  <si>
    <t>TR0078</t>
  </si>
  <si>
    <t>DR044</t>
  </si>
  <si>
    <t>TR0079</t>
  </si>
  <si>
    <t>TR0080</t>
  </si>
  <si>
    <t>DR024</t>
  </si>
  <si>
    <t>2024-04-19</t>
  </si>
  <si>
    <t>TR0081</t>
  </si>
  <si>
    <t>TR0082</t>
  </si>
  <si>
    <t>2024-01-26</t>
  </si>
  <si>
    <t>TR0083</t>
  </si>
  <si>
    <t>TR0084</t>
  </si>
  <si>
    <t>DR023</t>
  </si>
  <si>
    <t>2024-02-19</t>
  </si>
  <si>
    <t>TR0085</t>
  </si>
  <si>
    <t>2024-04-17</t>
  </si>
  <si>
    <t>TR0086</t>
  </si>
  <si>
    <t>2024-01-16</t>
  </si>
  <si>
    <t>TR0087</t>
  </si>
  <si>
    <t>TR0088</t>
  </si>
  <si>
    <t>2024-04-13</t>
  </si>
  <si>
    <t>TR0089</t>
  </si>
  <si>
    <t>2024-03-26</t>
  </si>
  <si>
    <t>TR0090</t>
  </si>
  <si>
    <t>TR0091</t>
  </si>
  <si>
    <t>TR0092</t>
  </si>
  <si>
    <t>TR0093</t>
  </si>
  <si>
    <t>DR039</t>
  </si>
  <si>
    <t>2024-01-02</t>
  </si>
  <si>
    <t>TR0094</t>
  </si>
  <si>
    <t>DR014</t>
  </si>
  <si>
    <t>TR0095</t>
  </si>
  <si>
    <t>2024-02-25</t>
  </si>
  <si>
    <t>TR0096</t>
  </si>
  <si>
    <t>2024-03-03</t>
  </si>
  <si>
    <t>TR0097</t>
  </si>
  <si>
    <t>DR026</t>
  </si>
  <si>
    <t>2024-01-11</t>
  </si>
  <si>
    <t>TR0098</t>
  </si>
  <si>
    <t>2024-03-24</t>
  </si>
  <si>
    <t>TR0099</t>
  </si>
  <si>
    <t>TR0100</t>
  </si>
  <si>
    <t>Driver_Name</t>
  </si>
  <si>
    <t>Age</t>
  </si>
  <si>
    <t>License_Type</t>
  </si>
  <si>
    <t>Experience_Years</t>
  </si>
  <si>
    <t>Total_Trips</t>
  </si>
  <si>
    <t>Avg_Rating</t>
  </si>
  <si>
    <t>Monthly_Salary_INR</t>
  </si>
  <si>
    <t>Incentive_INR</t>
  </si>
  <si>
    <t>Violations</t>
  </si>
  <si>
    <t>Join_Date</t>
  </si>
  <si>
    <t>Rajesh Kumar</t>
  </si>
  <si>
    <t>HMV</t>
  </si>
  <si>
    <t>Terminated</t>
  </si>
  <si>
    <t>2021-09-22</t>
  </si>
  <si>
    <t>Amit Sharma</t>
  </si>
  <si>
    <t>LMV</t>
  </si>
  <si>
    <t>2023-04-05</t>
  </si>
  <si>
    <t>Suresh Patel</t>
  </si>
  <si>
    <t>2020-07-02</t>
  </si>
  <si>
    <t>DR004</t>
  </si>
  <si>
    <t>Vikram Singh</t>
  </si>
  <si>
    <t>2022-08-02</t>
  </si>
  <si>
    <t>Anil Verma</t>
  </si>
  <si>
    <t>2018-01-06</t>
  </si>
  <si>
    <t>Deepak Yadav</t>
  </si>
  <si>
    <t>2020-03-17</t>
  </si>
  <si>
    <t>Sanjay Gupta</t>
  </si>
  <si>
    <t>2023-08-02</t>
  </si>
  <si>
    <t>Manoj Tiwari</t>
  </si>
  <si>
    <t>2021-03-07</t>
  </si>
  <si>
    <t>DR009</t>
  </si>
  <si>
    <t>Rahul Das</t>
  </si>
  <si>
    <t>On Leave</t>
  </si>
  <si>
    <t>2020-01-19</t>
  </si>
  <si>
    <t>Prakash Joshi</t>
  </si>
  <si>
    <t>2018-03-02</t>
  </si>
  <si>
    <t>Ravi Shankar</t>
  </si>
  <si>
    <t>2023-12-11</t>
  </si>
  <si>
    <t>Gopal Mishra</t>
  </si>
  <si>
    <t>2018-09-10</t>
  </si>
  <si>
    <t>Arun Nair</t>
  </si>
  <si>
    <t>2021-11-22</t>
  </si>
  <si>
    <t>Vinod Reddy</t>
  </si>
  <si>
    <t>2023-11-06</t>
  </si>
  <si>
    <t>Santosh Pillai</t>
  </si>
  <si>
    <t>2022-09-07</t>
  </si>
  <si>
    <t>Kiran Desai</t>
  </si>
  <si>
    <t>Nitin Pawar</t>
  </si>
  <si>
    <t>2020-09-21</t>
  </si>
  <si>
    <t>Ashok Mehta</t>
  </si>
  <si>
    <t>2021-12-23</t>
  </si>
  <si>
    <t>Ganesh Iyer</t>
  </si>
  <si>
    <t>2021-10-21</t>
  </si>
  <si>
    <t>Sunil Chauhan</t>
  </si>
  <si>
    <t>2021-02-11</t>
  </si>
  <si>
    <t>Ramesh Bhat</t>
  </si>
  <si>
    <t>2018-01-11</t>
  </si>
  <si>
    <t>Naveen Rao</t>
  </si>
  <si>
    <t>2021-03-09</t>
  </si>
  <si>
    <t>Pradeep Saxena</t>
  </si>
  <si>
    <t>2022-02-24</t>
  </si>
  <si>
    <t>Vijay Kulkarni</t>
  </si>
  <si>
    <t>2020-12-08</t>
  </si>
  <si>
    <t>Mohan Pandey</t>
  </si>
  <si>
    <t>2023-09-24</t>
  </si>
  <si>
    <t>Dilip Sinha</t>
  </si>
  <si>
    <t>2019-08-12</t>
  </si>
  <si>
    <t>Harish Menon</t>
  </si>
  <si>
    <t>2022-05-10</t>
  </si>
  <si>
    <t>DR028</t>
  </si>
  <si>
    <t>Jagdish Thakur</t>
  </si>
  <si>
    <t>2020-01-13</t>
  </si>
  <si>
    <t>Balram Dubey</t>
  </si>
  <si>
    <t>2021-07-17</t>
  </si>
  <si>
    <t>Umesh Kapoor</t>
  </si>
  <si>
    <t>2018-10-01</t>
  </si>
  <si>
    <t>Sachin Malhotra</t>
  </si>
  <si>
    <t>2018-11-02</t>
  </si>
  <si>
    <t>Ajay Banerjee</t>
  </si>
  <si>
    <t>2022-03-08</t>
  </si>
  <si>
    <t>Dinesh Ghosh</t>
  </si>
  <si>
    <t>2023-05-06</t>
  </si>
  <si>
    <t>Pawan Chatterjee</t>
  </si>
  <si>
    <t>2019-05-11</t>
  </si>
  <si>
    <t>Rakesh Bose</t>
  </si>
  <si>
    <t>Yogesh Dutta</t>
  </si>
  <si>
    <t>2020-07-05</t>
  </si>
  <si>
    <t>Kamal Sengupta</t>
  </si>
  <si>
    <t>2018-07-01</t>
  </si>
  <si>
    <t>DR038</t>
  </si>
  <si>
    <t>Tushar Mukherjee</t>
  </si>
  <si>
    <t>2019-06-20</t>
  </si>
  <si>
    <t>Hemant Sarkar</t>
  </si>
  <si>
    <t>2021-09-13</t>
  </si>
  <si>
    <t>Vivek Roy</t>
  </si>
  <si>
    <t>2020-10-04</t>
  </si>
  <si>
    <t>Abhishek Saha</t>
  </si>
  <si>
    <t>2021-02-24</t>
  </si>
  <si>
    <t>Tarun Biswas</t>
  </si>
  <si>
    <t>DR043</t>
  </si>
  <si>
    <t>Manish Mondal</t>
  </si>
  <si>
    <t>2022-02-23</t>
  </si>
  <si>
    <t>Rohit Barua</t>
  </si>
  <si>
    <t>2018-06-07</t>
  </si>
  <si>
    <t>DR045</t>
  </si>
  <si>
    <t>Gaurav Hazra</t>
  </si>
  <si>
    <t>2020-03-23</t>
  </si>
  <si>
    <t>Ankur Choudhury</t>
  </si>
  <si>
    <t>2020-12-06</t>
  </si>
  <si>
    <t>Siddharth Debnath</t>
  </si>
  <si>
    <t>2021-04-28</t>
  </si>
  <si>
    <t>Vishal Bhatt</t>
  </si>
  <si>
    <t>2022-03-26</t>
  </si>
  <si>
    <t>Kunal Trivedi</t>
  </si>
  <si>
    <t>2018-06-24</t>
  </si>
  <si>
    <t>Akhil Jain</t>
  </si>
  <si>
    <t>2018-04-10</t>
  </si>
  <si>
    <t>Maintenance_ID</t>
  </si>
  <si>
    <t>Maintenance_Type</t>
  </si>
  <si>
    <t>Date</t>
  </si>
  <si>
    <t>Cost_INR</t>
  </si>
  <si>
    <t>Downtime_Days</t>
  </si>
  <si>
    <t>Vendor</t>
  </si>
  <si>
    <t>Parts_Replaced</t>
  </si>
  <si>
    <t>Next_Due_Date</t>
  </si>
  <si>
    <t>Priority</t>
  </si>
  <si>
    <t>MN0001</t>
  </si>
  <si>
    <t>Battery Replacement</t>
  </si>
  <si>
    <t>2024-03-07</t>
  </si>
  <si>
    <t>QuickServ Auto</t>
  </si>
  <si>
    <t>Wiper Blades</t>
  </si>
  <si>
    <t>2024-08-05</t>
  </si>
  <si>
    <t>Low</t>
  </si>
  <si>
    <t>MN0002</t>
  </si>
  <si>
    <t>2024-01-27</t>
  </si>
  <si>
    <t>FleetFix Solutions</t>
  </si>
  <si>
    <t>Coolant</t>
  </si>
  <si>
    <t>2024-11-06</t>
  </si>
  <si>
    <t>High</t>
  </si>
  <si>
    <t>MN0003</t>
  </si>
  <si>
    <t>Brake Repair</t>
  </si>
  <si>
    <t>Spark Plugs</t>
  </si>
  <si>
    <t>2024-08-03</t>
  </si>
  <si>
    <t>MN0004</t>
  </si>
  <si>
    <t>Tire Replacement</t>
  </si>
  <si>
    <t>2024-04-20</t>
  </si>
  <si>
    <t>AutoCare Pro</t>
  </si>
  <si>
    <t>2024-10-28</t>
  </si>
  <si>
    <t>MN0005</t>
  </si>
  <si>
    <t>Suspension Repair</t>
  </si>
  <si>
    <t>2024-06-12</t>
  </si>
  <si>
    <t>MN0006</t>
  </si>
  <si>
    <t>Electrical Issue</t>
  </si>
  <si>
    <t>SpeedyRepair</t>
  </si>
  <si>
    <t>Air Filter</t>
  </si>
  <si>
    <t>2024-11-01</t>
  </si>
  <si>
    <t>MN0007</t>
  </si>
  <si>
    <t>Body Repair</t>
  </si>
  <si>
    <t>Battery</t>
  </si>
  <si>
    <t>2024-12-02</t>
  </si>
  <si>
    <t>Critical</t>
  </si>
  <si>
    <t>MN0008</t>
  </si>
  <si>
    <t>MechMaster</t>
  </si>
  <si>
    <t>Tires (Set of 4)</t>
  </si>
  <si>
    <t>2024-11-19</t>
  </si>
  <si>
    <t>MN0009</t>
  </si>
  <si>
    <t>Oil Filter</t>
  </si>
  <si>
    <t>MN0010</t>
  </si>
  <si>
    <t>2024-08-25</t>
  </si>
  <si>
    <t>MN0011</t>
  </si>
  <si>
    <t>Engine Overhaul</t>
  </si>
  <si>
    <t>MN0012</t>
  </si>
  <si>
    <t>Oil Change</t>
  </si>
  <si>
    <t>Belt Assembly</t>
  </si>
  <si>
    <t>2024-11-10</t>
  </si>
  <si>
    <t>MN0013</t>
  </si>
  <si>
    <t>2024-07-01</t>
  </si>
  <si>
    <t>MN0014</t>
  </si>
  <si>
    <t>Brake Pads</t>
  </si>
  <si>
    <t>MN0015</t>
  </si>
  <si>
    <t>2024-04-07</t>
  </si>
  <si>
    <t>2024-06-28</t>
  </si>
  <si>
    <t>MN0016</t>
  </si>
  <si>
    <t>NA</t>
  </si>
  <si>
    <t>2024-11-17</t>
  </si>
  <si>
    <t>MN0017</t>
  </si>
  <si>
    <t>2024-04-24</t>
  </si>
  <si>
    <t>2024-06-05</t>
  </si>
  <si>
    <t>Medium</t>
  </si>
  <si>
    <t>MN0018</t>
  </si>
  <si>
    <t>Scheduled Service</t>
  </si>
  <si>
    <t>2024-02-27</t>
  </si>
  <si>
    <t>PrimeAuto Workshop</t>
  </si>
  <si>
    <t>2024-06-21</t>
  </si>
  <si>
    <t>MN0019</t>
  </si>
  <si>
    <t>2024-03-02</t>
  </si>
  <si>
    <t>MN0020</t>
  </si>
  <si>
    <t>Clutch Plate</t>
  </si>
  <si>
    <t>2024-06-14</t>
  </si>
  <si>
    <t>MN0021</t>
  </si>
  <si>
    <t>2024-04-25</t>
  </si>
  <si>
    <t>2024-07-18</t>
  </si>
  <si>
    <t>MN0022</t>
  </si>
  <si>
    <t>2024-08-18</t>
  </si>
  <si>
    <t>MN0023</t>
  </si>
  <si>
    <t>2024-08-13</t>
  </si>
  <si>
    <t>MN0024</t>
  </si>
  <si>
    <t>2024-08-17</t>
  </si>
  <si>
    <t>MN0025</t>
  </si>
  <si>
    <t>2024-07-27</t>
  </si>
  <si>
    <t>MN0026</t>
  </si>
  <si>
    <t>2024-06-09</t>
  </si>
  <si>
    <t>MN0027</t>
  </si>
  <si>
    <t>2024-06-22</t>
  </si>
  <si>
    <t>MN0028</t>
  </si>
  <si>
    <t>2024-11-28</t>
  </si>
  <si>
    <t>MN0029</t>
  </si>
  <si>
    <t>2024-12-22</t>
  </si>
  <si>
    <t>MN0030</t>
  </si>
  <si>
    <t>MN0031</t>
  </si>
  <si>
    <t>2024-09-11</t>
  </si>
  <si>
    <t>MN0032</t>
  </si>
  <si>
    <t>2024-06-17</t>
  </si>
  <si>
    <t>MN0033</t>
  </si>
  <si>
    <t>2024-05-02</t>
  </si>
  <si>
    <t>MN0034</t>
  </si>
  <si>
    <t>2024-03-13</t>
  </si>
  <si>
    <t>2024-08-19</t>
  </si>
  <si>
    <t>MN0035</t>
  </si>
  <si>
    <t>2024-09-02</t>
  </si>
  <si>
    <t>MN0036</t>
  </si>
  <si>
    <t>2024-12-15</t>
  </si>
  <si>
    <t>MN0037</t>
  </si>
  <si>
    <t>2024-08-10</t>
  </si>
  <si>
    <t>MN0038</t>
  </si>
  <si>
    <t>2024-05-01</t>
  </si>
  <si>
    <t>MN0039</t>
  </si>
  <si>
    <t>2024-11-08</t>
  </si>
  <si>
    <t>MN0040</t>
  </si>
  <si>
    <t>2024-03-11</t>
  </si>
  <si>
    <t>2024-12-20</t>
  </si>
  <si>
    <t>MN0041</t>
  </si>
  <si>
    <t>MN0042</t>
  </si>
  <si>
    <t>2024-03-18</t>
  </si>
  <si>
    <t>2024-06-20</t>
  </si>
  <si>
    <t>MN0043</t>
  </si>
  <si>
    <t>2024-09-25</t>
  </si>
  <si>
    <t>MN0044</t>
  </si>
  <si>
    <t>2024-09-15</t>
  </si>
  <si>
    <t>MN0045</t>
  </si>
  <si>
    <t>2024-03-06</t>
  </si>
  <si>
    <t>2024-05-26</t>
  </si>
  <si>
    <t>MN0046</t>
  </si>
  <si>
    <t>2024-06-27</t>
  </si>
  <si>
    <t>MN0047</t>
  </si>
  <si>
    <t>2024-11-04</t>
  </si>
  <si>
    <t>MN0048</t>
  </si>
  <si>
    <t>2024-01-17</t>
  </si>
  <si>
    <t>2024-06-15</t>
  </si>
  <si>
    <t>MN0049</t>
  </si>
  <si>
    <t>2024-10-20</t>
  </si>
  <si>
    <t>MN0050</t>
  </si>
  <si>
    <t>2024-05-20</t>
  </si>
  <si>
    <t>MN0051</t>
  </si>
  <si>
    <t>2024-01-04</t>
  </si>
  <si>
    <t>2024-07-06</t>
  </si>
  <si>
    <t>MN0052</t>
  </si>
  <si>
    <t>MN0053</t>
  </si>
  <si>
    <t>2024-11-13</t>
  </si>
  <si>
    <t>MN0054</t>
  </si>
  <si>
    <t>MN0055</t>
  </si>
  <si>
    <t>2024-09-10</t>
  </si>
  <si>
    <t>MN0056</t>
  </si>
  <si>
    <t>2024-12-04</t>
  </si>
  <si>
    <t>MN0057</t>
  </si>
  <si>
    <t>2024-07-19</t>
  </si>
  <si>
    <t>MN0058</t>
  </si>
  <si>
    <t>2024-04-02</t>
  </si>
  <si>
    <t>2024-09-03</t>
  </si>
  <si>
    <t>MN0059</t>
  </si>
  <si>
    <t>2024-02-13</t>
  </si>
  <si>
    <t>2024-11-12</t>
  </si>
  <si>
    <t>MN0060</t>
  </si>
  <si>
    <t>2024-11-14</t>
  </si>
  <si>
    <t>Month</t>
  </si>
  <si>
    <t>Completed_Trips</t>
  </si>
  <si>
    <t>Cancelled_Trips</t>
  </si>
  <si>
    <t>Revenue_INR</t>
  </si>
  <si>
    <t>Fuel_Cost_INR</t>
  </si>
  <si>
    <t>Maintenance_Cost_INR</t>
  </si>
  <si>
    <t>Driver_Cost_INR</t>
  </si>
  <si>
    <t>Profit_INR</t>
  </si>
  <si>
    <t>January</t>
  </si>
  <si>
    <t>February</t>
  </si>
  <si>
    <t>March</t>
  </si>
  <si>
    <t>April</t>
  </si>
  <si>
    <t>Using Trip_Data, calculate for each city:
- Average fare per km
- Cancellation rate (%)
- Average customer rating
- Total revenue from surge trips (Surge &gt; 1.0)</t>
  </si>
  <si>
    <t>Create a new sheet 'Analysis_A1'. Build a summary table showing:
- Total vehicles per City
- Average Mileage per Fuel Type
- Total Monthly Revenue by Service Type
- Count of vehicles with Rating &gt; 4.0 per City</t>
  </si>
  <si>
    <t>MS EXCEL ASSESSMENT</t>
  </si>
  <si>
    <t>Nikhil Goswami</t>
  </si>
  <si>
    <t>Total Vehicles</t>
  </si>
  <si>
    <t>Fuel Type</t>
  </si>
  <si>
    <t>Average Mileage</t>
  </si>
  <si>
    <t>Service Type</t>
  </si>
  <si>
    <t>Total Revenue</t>
  </si>
  <si>
    <t>Vehicle ID</t>
  </si>
  <si>
    <t>Monthly Revenue</t>
  </si>
  <si>
    <t>Task A2 – Vehicle Lookup</t>
  </si>
  <si>
    <t>Avg Fare/km</t>
  </si>
  <si>
    <t>Cancellation %</t>
  </si>
  <si>
    <t>Avg Customer Rating</t>
  </si>
  <si>
    <t>Surge Revenue</t>
  </si>
  <si>
    <t>Task A3 – Trip Performance Analysis by City</t>
  </si>
  <si>
    <t>Task A1 – Total vehicles per City</t>
  </si>
  <si>
    <t>Task A1 – Vehicles with Rating &gt; 4.0 per City</t>
  </si>
  <si>
    <t>Task A1 – Total Monthly Revenue by Service Type</t>
  </si>
  <si>
    <t>Task A1 – Average Mileage per Fuel Type</t>
  </si>
  <si>
    <t>Recalculated_Profit</t>
  </si>
  <si>
    <t>Profit_Margin_%</t>
  </si>
  <si>
    <t>Error_Flag</t>
  </si>
  <si>
    <t>High Odometer Vehicles (&gt;80,000 km)</t>
  </si>
  <si>
    <t>Drivers Requiring Review</t>
  </si>
  <si>
    <t>Validation</t>
  </si>
  <si>
    <t>No inconsistencies found.</t>
  </si>
  <si>
    <t>Impossible Speed Trips</t>
  </si>
  <si>
    <t>Electric Vehicle Validation</t>
  </si>
  <si>
    <t>Validation Report</t>
  </si>
  <si>
    <t>Row Labels</t>
  </si>
  <si>
    <t>Grand Total</t>
  </si>
  <si>
    <t>Column Labels</t>
  </si>
  <si>
    <t>Sum of Revenue_INR</t>
  </si>
  <si>
    <t>PIVOT TABLES &amp; CHARTS</t>
  </si>
  <si>
    <t>Revenue by City and Month (with Grand Totals)</t>
  </si>
  <si>
    <t>Average of Customer_Rating</t>
  </si>
  <si>
    <t>Average Rating by Service Type and City</t>
  </si>
  <si>
    <t>Sum of Cost_INR</t>
  </si>
  <si>
    <t>Maintenance Cost by Vehicle Make and Maintenance Type</t>
  </si>
  <si>
    <t>Revenue Comparison Across Cities by Service Type</t>
  </si>
  <si>
    <t>Count of Vehicle_ID</t>
  </si>
  <si>
    <t>Fleet Composition by Fuel Type</t>
  </si>
  <si>
    <t>Monthly Revenue Trend by City</t>
  </si>
  <si>
    <t>Sum of Total_Trips</t>
  </si>
  <si>
    <t>Revenue</t>
  </si>
  <si>
    <t>Distance (km)</t>
  </si>
  <si>
    <t>Revenue/km</t>
  </si>
  <si>
    <t>Maintenance Cost</t>
  </si>
  <si>
    <t>Cost Efficiency %</t>
  </si>
  <si>
    <t>Active Trips</t>
  </si>
  <si>
    <t>Total Possible Trips</t>
  </si>
  <si>
    <t>Driver Utilization %</t>
  </si>
  <si>
    <t>Rank</t>
  </si>
  <si>
    <t>Fuel Cost</t>
  </si>
  <si>
    <t>New Profit</t>
  </si>
  <si>
    <t>Driver Cost</t>
  </si>
  <si>
    <t>Profit</t>
  </si>
  <si>
    <t>New Fuel Cost</t>
  </si>
  <si>
    <t>Fuel Increase</t>
  </si>
  <si>
    <t>Surge Multiplier Analysis</t>
  </si>
  <si>
    <t>Surge Multiplier</t>
  </si>
  <si>
    <t>Estimated Revenue</t>
  </si>
  <si>
    <t>Estimated Profit</t>
  </si>
  <si>
    <t>Break-even Trips</t>
  </si>
  <si>
    <t>Vehicle</t>
  </si>
  <si>
    <t>Maintenance</t>
  </si>
  <si>
    <t>Fuel Price Increase Analysis (10%,20%,30%) &amp; Goal Seek</t>
  </si>
  <si>
    <t>WTi Cabs Fleet Performance Dashboard
Executive Summary</t>
  </si>
  <si>
    <t>Active Vehicles</t>
  </si>
  <si>
    <t>Total Fleet Size</t>
  </si>
  <si>
    <t>Average Driver Rating</t>
  </si>
  <si>
    <t>Month-over-Month Growth</t>
  </si>
  <si>
    <t>Revenue Growth</t>
  </si>
  <si>
    <t>Feb vs Jan Revenue</t>
  </si>
  <si>
    <t>Mar vs Feb Revenue</t>
  </si>
  <si>
    <t>Apr vs Mar Revenue</t>
  </si>
  <si>
    <t>Top 5 Table</t>
  </si>
  <si>
    <t>Bottom 5 Table</t>
  </si>
  <si>
    <t>Goal Seek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</si>
</sst>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 &quot;₹&quot;\ * #,##0.00_ ;_ &quot;₹&quot;\ * \-#,##0.00_ ;_ &quot;₹&quot;\ * &quot;-&quot;??_ ;_ @_ "/>
    <numFmt numFmtId="164" formatCode="\₹#,##0"/>
    <numFmt numFmtId="165" formatCode="_ [$₹-4009]\ * #,##0_ ;_ [$₹-4009]\ * \-#,##0_ ;_ [$₹-4009]\ * &quot;-&quot;??_ ;_ @_ "/>
    <numFmt numFmtId="166" formatCode="_ &quot;₹&quot;\ * #,##0_ ;_ &quot;₹&quot;\ * \-#,##0_ ;_ &quot;₹&quot;\ * &quot;-&quot;??_ ;_ @_ "/>
    <numFmt numFmtId="167" formatCode="&quot;₹&quot;\ #,##0.00"/>
    <numFmt numFmtId="168" formatCode="&quot;₹&quot;\ #,##0"/>
  </numFmts>
  <fonts count="17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sz val="11"/>
      <name val="Calibri"/>
      <family val="2"/>
    </font>
    <font>
      <b/>
      <sz val="18"/>
      <color rgb="FFFFFFFF"/>
      <name val="Calibri"/>
      <family val="2"/>
    </font>
    <font>
      <b/>
      <sz val="13"/>
      <color rgb="FFFFFFFF"/>
      <name val="Calibri"/>
      <family val="2"/>
    </font>
    <font>
      <b/>
      <sz val="11"/>
      <name val="Calibri"/>
      <family val="2"/>
    </font>
    <font>
      <b/>
      <sz val="14"/>
      <color rgb="FFFFFFFF"/>
      <name val="Calibri"/>
      <family val="2"/>
    </font>
    <font>
      <b/>
      <sz val="11"/>
      <color rgb="FFC00000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rgb="FFFFFFFF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22"/>
      <color theme="0"/>
      <name val="Aptos"/>
      <family val="2"/>
    </font>
  </fonts>
  <fills count="21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2E75B6"/>
        <bgColor rgb="FF2E75B6"/>
      </patternFill>
    </fill>
    <fill>
      <patternFill patternType="solid">
        <fgColor rgb="FFFFFFCC"/>
        <bgColor rgb="FFFFFFCC"/>
      </patternFill>
    </fill>
    <fill>
      <patternFill patternType="solid">
        <fgColor rgb="FF002060"/>
        <bgColor rgb="FFC00000"/>
      </patternFill>
    </fill>
    <fill>
      <patternFill patternType="solid">
        <fgColor rgb="FF00206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rgb="FFD6E4F0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3B3B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3">
    <xf numFmtId="0" fontId="0" fillId="0" borderId="0"/>
    <xf numFmtId="44" fontId="10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91">
    <xf numFmtId="0" fontId="0" fillId="0" borderId="0" xfId="0"/>
    <xf numFmtId="0" fontId="5" fillId="0" borderId="0" xfId="0" applyFont="1"/>
    <xf numFmtId="0" fontId="2" fillId="5" borderId="0" xfId="0" applyFont="1" applyFill="1"/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3" fontId="2" fillId="3" borderId="1" xfId="0" applyNumberFormat="1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3" fontId="2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0" fillId="0" borderId="1" xfId="0" applyBorder="1"/>
    <xf numFmtId="0" fontId="7" fillId="0" borderId="1" xfId="0" applyFont="1" applyBorder="1" applyAlignment="1">
      <alignment vertical="center"/>
    </xf>
    <xf numFmtId="14" fontId="2" fillId="5" borderId="0" xfId="0" applyNumberFormat="1" applyFont="1" applyFill="1"/>
    <xf numFmtId="0" fontId="0" fillId="0" borderId="0" xfId="0" applyAlignment="1">
      <alignment vertical="center" wrapText="1"/>
    </xf>
    <xf numFmtId="0" fontId="9" fillId="2" borderId="1" xfId="0" applyFont="1" applyFill="1" applyBorder="1" applyAlignment="1">
      <alignment horizontal="center" vertical="center" wrapText="1"/>
    </xf>
    <xf numFmtId="2" fontId="2" fillId="3" borderId="1" xfId="0" applyNumberFormat="1" applyFont="1" applyFill="1" applyBorder="1" applyAlignment="1">
      <alignment vertical="center"/>
    </xf>
    <xf numFmtId="165" fontId="2" fillId="3" borderId="1" xfId="0" applyNumberFormat="1" applyFont="1" applyFill="1" applyBorder="1" applyAlignment="1">
      <alignment horizontal="center" vertical="center"/>
    </xf>
    <xf numFmtId="2" fontId="2" fillId="0" borderId="1" xfId="0" applyNumberFormat="1" applyFont="1" applyBorder="1" applyAlignment="1">
      <alignment vertical="center"/>
    </xf>
    <xf numFmtId="2" fontId="2" fillId="9" borderId="1" xfId="0" applyNumberFormat="1" applyFont="1" applyFill="1" applyBorder="1" applyAlignment="1">
      <alignment vertical="center"/>
    </xf>
    <xf numFmtId="165" fontId="2" fillId="9" borderId="1" xfId="0" applyNumberFormat="1" applyFont="1" applyFill="1" applyBorder="1" applyAlignment="1">
      <alignment horizontal="center" vertical="center"/>
    </xf>
    <xf numFmtId="44" fontId="0" fillId="0" borderId="0" xfId="1" applyFont="1"/>
    <xf numFmtId="44" fontId="2" fillId="3" borderId="1" xfId="1" applyFont="1" applyFill="1" applyBorder="1" applyAlignment="1">
      <alignment vertical="center"/>
    </xf>
    <xf numFmtId="166" fontId="2" fillId="3" borderId="1" xfId="1" applyNumberFormat="1" applyFont="1" applyFill="1" applyBorder="1" applyAlignment="1">
      <alignment vertical="center"/>
    </xf>
    <xf numFmtId="0" fontId="11" fillId="10" borderId="1" xfId="0" applyFont="1" applyFill="1" applyBorder="1" applyAlignment="1">
      <alignment horizontal="center"/>
    </xf>
    <xf numFmtId="0" fontId="0" fillId="0" borderId="0" xfId="0" applyAlignment="1">
      <alignment horizontal="right" vertical="center" wrapText="1"/>
    </xf>
    <xf numFmtId="0" fontId="11" fillId="0" borderId="0" xfId="0" applyFont="1" applyAlignment="1">
      <alignment horizontal="right" vertical="center" wrapText="1"/>
    </xf>
    <xf numFmtId="10" fontId="2" fillId="3" borderId="1" xfId="2" applyNumberFormat="1" applyFont="1" applyFill="1" applyBorder="1" applyAlignment="1">
      <alignment vertical="center"/>
    </xf>
    <xf numFmtId="2" fontId="0" fillId="0" borderId="0" xfId="0" applyNumberFormat="1"/>
    <xf numFmtId="44" fontId="2" fillId="9" borderId="1" xfId="1" applyFont="1" applyFill="1" applyBorder="1" applyAlignment="1">
      <alignment vertical="center"/>
    </xf>
    <xf numFmtId="10" fontId="2" fillId="9" borderId="1" xfId="2" applyNumberFormat="1" applyFont="1" applyFill="1" applyBorder="1" applyAlignment="1">
      <alignment vertical="center"/>
    </xf>
    <xf numFmtId="44" fontId="2" fillId="0" borderId="1" xfId="1" applyFont="1" applyBorder="1" applyAlignment="1">
      <alignment vertical="center"/>
    </xf>
    <xf numFmtId="0" fontId="1" fillId="2" borderId="5" xfId="0" applyFont="1" applyFill="1" applyBorder="1" applyAlignment="1">
      <alignment horizontal="center" vertical="center" wrapText="1"/>
    </xf>
    <xf numFmtId="9" fontId="0" fillId="0" borderId="0" xfId="2" applyFont="1"/>
    <xf numFmtId="10" fontId="0" fillId="0" borderId="0" xfId="2" applyNumberFormat="1" applyFont="1"/>
    <xf numFmtId="10" fontId="0" fillId="0" borderId="1" xfId="2" applyNumberFormat="1" applyFont="1" applyBorder="1"/>
    <xf numFmtId="0" fontId="8" fillId="8" borderId="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168" fontId="0" fillId="0" borderId="1" xfId="0" applyNumberFormat="1" applyBorder="1"/>
    <xf numFmtId="168" fontId="0" fillId="0" borderId="0" xfId="0" applyNumberFormat="1"/>
    <xf numFmtId="2" fontId="0" fillId="0" borderId="1" xfId="0" applyNumberFormat="1" applyBorder="1"/>
    <xf numFmtId="166" fontId="0" fillId="0" borderId="0" xfId="1" applyNumberFormat="1" applyFont="1"/>
    <xf numFmtId="0" fontId="11" fillId="0" borderId="0" xfId="0" applyFont="1" applyAlignment="1">
      <alignment horizontal="center" vertical="center" wrapText="1"/>
    </xf>
    <xf numFmtId="9" fontId="0" fillId="0" borderId="0" xfId="0" applyNumberFormat="1" applyAlignment="1">
      <alignment vertical="center" wrapText="1"/>
    </xf>
    <xf numFmtId="9" fontId="0" fillId="0" borderId="0" xfId="0" applyNumberFormat="1"/>
    <xf numFmtId="44" fontId="0" fillId="0" borderId="0" xfId="0" applyNumberFormat="1"/>
    <xf numFmtId="44" fontId="0" fillId="0" borderId="0" xfId="1" applyFont="1" applyAlignment="1">
      <alignment horizontal="right" vertical="center" wrapText="1"/>
    </xf>
    <xf numFmtId="44" fontId="0" fillId="0" borderId="0" xfId="1" applyFont="1" applyAlignment="1">
      <alignment vertical="center" wrapText="1"/>
    </xf>
    <xf numFmtId="0" fontId="0" fillId="20" borderId="0" xfId="0" applyFill="1"/>
    <xf numFmtId="0" fontId="0" fillId="8" borderId="0" xfId="0" applyFill="1"/>
    <xf numFmtId="0" fontId="0" fillId="8" borderId="0" xfId="0" applyFill="1" applyAlignment="1">
      <alignment vertical="center" wrapText="1"/>
    </xf>
    <xf numFmtId="0" fontId="12" fillId="20" borderId="0" xfId="0" applyFont="1" applyFill="1" applyAlignment="1">
      <alignment horizontal="center"/>
    </xf>
    <xf numFmtId="0" fontId="2" fillId="0" borderId="0" xfId="0" applyFont="1"/>
    <xf numFmtId="0" fontId="0" fillId="0" borderId="0" xfId="0"/>
    <xf numFmtId="0" fontId="3" fillId="2" borderId="0" xfId="0" applyFont="1" applyFill="1" applyAlignment="1">
      <alignment horizontal="center" vertical="center"/>
    </xf>
    <xf numFmtId="0" fontId="4" fillId="4" borderId="0" xfId="0" applyFont="1" applyFill="1"/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6" fillId="6" borderId="1" xfId="0" applyFont="1" applyFill="1" applyBorder="1" applyAlignment="1">
      <alignment horizontal="center"/>
    </xf>
    <xf numFmtId="0" fontId="0" fillId="7" borderId="1" xfId="0" applyFill="1" applyBorder="1"/>
    <xf numFmtId="0" fontId="1" fillId="4" borderId="1" xfId="0" applyFont="1" applyFill="1" applyBorder="1"/>
    <xf numFmtId="0" fontId="0" fillId="0" borderId="1" xfId="0" applyBorder="1"/>
    <xf numFmtId="0" fontId="8" fillId="8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12" borderId="7" xfId="0" applyFill="1" applyBorder="1" applyAlignment="1">
      <alignment horizontal="center"/>
    </xf>
    <xf numFmtId="0" fontId="0" fillId="12" borderId="6" xfId="0" applyFill="1" applyBorder="1" applyAlignment="1">
      <alignment horizontal="center"/>
    </xf>
    <xf numFmtId="0" fontId="8" fillId="11" borderId="2" xfId="0" applyFont="1" applyFill="1" applyBorder="1" applyAlignment="1">
      <alignment horizontal="center"/>
    </xf>
    <xf numFmtId="0" fontId="8" fillId="11" borderId="3" xfId="0" applyFont="1" applyFill="1" applyBorder="1" applyAlignment="1">
      <alignment horizontal="center"/>
    </xf>
    <xf numFmtId="0" fontId="8" fillId="11" borderId="4" xfId="0" applyFont="1" applyFill="1" applyBorder="1" applyAlignment="1">
      <alignment horizontal="center"/>
    </xf>
    <xf numFmtId="0" fontId="13" fillId="17" borderId="1" xfId="0" applyFont="1" applyFill="1" applyBorder="1" applyAlignment="1">
      <alignment horizontal="center"/>
    </xf>
    <xf numFmtId="0" fontId="14" fillId="17" borderId="1" xfId="0" applyFont="1" applyFill="1" applyBorder="1" applyAlignment="1">
      <alignment horizontal="center"/>
    </xf>
    <xf numFmtId="0" fontId="8" fillId="14" borderId="2" xfId="0" applyFont="1" applyFill="1" applyBorder="1" applyAlignment="1">
      <alignment horizontal="center"/>
    </xf>
    <xf numFmtId="0" fontId="8" fillId="14" borderId="3" xfId="0" applyFont="1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8" fillId="15" borderId="2" xfId="0" applyFont="1" applyFill="1" applyBorder="1" applyAlignment="1">
      <alignment horizontal="center"/>
    </xf>
    <xf numFmtId="0" fontId="8" fillId="15" borderId="3" xfId="0" applyFont="1" applyFill="1" applyBorder="1" applyAlignment="1">
      <alignment horizontal="center"/>
    </xf>
    <xf numFmtId="0" fontId="8" fillId="15" borderId="4" xfId="0" applyFont="1" applyFill="1" applyBorder="1" applyAlignment="1">
      <alignment horizontal="center"/>
    </xf>
    <xf numFmtId="0" fontId="8" fillId="13" borderId="2" xfId="0" applyFont="1" applyFill="1" applyBorder="1" applyAlignment="1">
      <alignment horizontal="center"/>
    </xf>
    <xf numFmtId="0" fontId="8" fillId="13" borderId="3" xfId="0" applyFont="1" applyFill="1" applyBorder="1" applyAlignment="1">
      <alignment horizontal="center"/>
    </xf>
    <xf numFmtId="0" fontId="8" fillId="13" borderId="4" xfId="0" applyFont="1" applyFill="1" applyBorder="1" applyAlignment="1">
      <alignment horizontal="center"/>
    </xf>
    <xf numFmtId="0" fontId="13" fillId="18" borderId="0" xfId="0" applyFont="1" applyFill="1" applyAlignment="1">
      <alignment horizontal="center"/>
    </xf>
    <xf numFmtId="0" fontId="12" fillId="18" borderId="0" xfId="0" applyFont="1" applyFill="1" applyAlignment="1">
      <alignment horizontal="center"/>
    </xf>
    <xf numFmtId="0" fontId="11" fillId="19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16" fillId="20" borderId="0" xfId="0" applyFont="1" applyFill="1" applyAlignment="1">
      <alignment horizontal="center" wrapText="1"/>
    </xf>
    <xf numFmtId="0" fontId="16" fillId="20" borderId="0" xfId="0" applyFont="1" applyFill="1" applyAlignment="1">
      <alignment horizontal="center"/>
    </xf>
    <xf numFmtId="0" fontId="13" fillId="2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20">
    <dxf>
      <fill>
        <patternFill>
          <bgColor rgb="FFFF3B3B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3B3B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8" formatCode="&quot;₹&quot;\ #,##0"/>
    </dxf>
    <dxf>
      <numFmt numFmtId="168" formatCode="&quot;₹&quot;\ 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&quot;₹&quot;\ 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8" formatCode="&quot;₹&quot;\ #,##0"/>
    </dxf>
    <dxf>
      <numFmt numFmtId="168" formatCode="&quot;₹&quot;\ 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&quot;₹&quot;\ 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colors>
    <mruColors>
      <color rgb="FFFF3B3B"/>
      <color rgb="FFFF6161"/>
      <color rgb="FFFF8181"/>
      <color rgb="FFFF4343"/>
      <color rgb="FFFFC9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[NikhilGoswami_Excel.xlsx]Charts_Data!PivotTable4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Comparison Across Cities by Service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Charts_Data!$B$4:$B$5</c:f>
              <c:strCache>
                <c:ptCount val="1"/>
                <c:pt idx="0">
                  <c:v>Corporate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Charts_Data!$A$6:$A$12</c:f>
              <c:strCache>
                <c:ptCount val="6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Mumbai</c:v>
                </c:pt>
                <c:pt idx="5">
                  <c:v>Pune</c:v>
                </c:pt>
              </c:strCache>
            </c:strRef>
          </c:cat>
          <c:val>
            <c:numRef>
              <c:f>Charts_Data!$B$6:$B$12</c:f>
              <c:numCache>
                <c:formatCode>"₹"\ #,##0</c:formatCode>
                <c:ptCount val="6"/>
                <c:pt idx="0">
                  <c:v>898982</c:v>
                </c:pt>
                <c:pt idx="1">
                  <c:v>851067</c:v>
                </c:pt>
                <c:pt idx="2">
                  <c:v>391412</c:v>
                </c:pt>
                <c:pt idx="3">
                  <c:v>613322</c:v>
                </c:pt>
                <c:pt idx="4">
                  <c:v>896268</c:v>
                </c:pt>
                <c:pt idx="5">
                  <c:v>825370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4D-40AC-B8F8-06364839C0A4}"/>
            </c:ext>
          </c:extLst>
        </c:ser>
        <c:ser>
          <c:idx val="1"/>
          <c:order val="1"/>
          <c:tx>
            <c:strRef>
              <c:f>Charts_Data!$C$4:$C$5</c:f>
              <c:strCache>
                <c:ptCount val="1"/>
                <c:pt idx="0">
                  <c:v>Last-Mile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Charts_Data!$A$6:$A$12</c:f>
              <c:strCache>
                <c:ptCount val="6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Mumbai</c:v>
                </c:pt>
                <c:pt idx="5">
                  <c:v>Pune</c:v>
                </c:pt>
              </c:strCache>
            </c:strRef>
          </c:cat>
          <c:val>
            <c:numRef>
              <c:f>Charts_Data!$C$6:$C$12</c:f>
              <c:numCache>
                <c:formatCode>"₹"\ #,##0</c:formatCode>
                <c:ptCount val="6"/>
                <c:pt idx="0">
                  <c:v>772379</c:v>
                </c:pt>
                <c:pt idx="1">
                  <c:v>755967</c:v>
                </c:pt>
                <c:pt idx="2">
                  <c:v>745319</c:v>
                </c:pt>
                <c:pt idx="3">
                  <c:v>936297</c:v>
                </c:pt>
                <c:pt idx="4">
                  <c:v>811063</c:v>
                </c:pt>
                <c:pt idx="5">
                  <c:v>420379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4D-40AC-B8F8-06364839C0A4}"/>
            </c:ext>
          </c:extLst>
        </c:ser>
        <c:ser>
          <c:idx val="2"/>
          <c:order val="2"/>
          <c:tx>
            <c:strRef>
              <c:f>Charts_Data!$D$4:$D$5</c:f>
              <c:strCache>
                <c:ptCount val="1"/>
                <c:pt idx="0">
                  <c:v>Ride-Hailing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Charts_Data!$A$6:$A$12</c:f>
              <c:strCache>
                <c:ptCount val="6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Mumbai</c:v>
                </c:pt>
                <c:pt idx="5">
                  <c:v>Pune</c:v>
                </c:pt>
              </c:strCache>
            </c:strRef>
          </c:cat>
          <c:val>
            <c:numRef>
              <c:f>Charts_Data!$D$6:$D$12</c:f>
              <c:numCache>
                <c:formatCode>"₹"\ #,##0</c:formatCode>
                <c:ptCount val="6"/>
                <c:pt idx="0">
                  <c:v>530226</c:v>
                </c:pt>
                <c:pt idx="1">
                  <c:v>559616</c:v>
                </c:pt>
                <c:pt idx="2">
                  <c:v>852615</c:v>
                </c:pt>
                <c:pt idx="3">
                  <c:v>939111</c:v>
                </c:pt>
                <c:pt idx="4">
                  <c:v>672525</c:v>
                </c:pt>
                <c:pt idx="5">
                  <c:v>688751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4D-40AC-B8F8-06364839C0A4}"/>
            </c:ext>
          </c:extLst>
        </c:ser>
        <c:ser>
          <c:idx val="3"/>
          <c:order val="3"/>
          <c:tx>
            <c:strRef>
              <c:f>Charts_Data!$E$4:$E$5</c:f>
              <c:strCache>
                <c:ptCount val="1"/>
                <c:pt idx="0">
                  <c:v>Shuttle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Charts_Data!$A$6:$A$12</c:f>
              <c:strCache>
                <c:ptCount val="6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Mumbai</c:v>
                </c:pt>
                <c:pt idx="5">
                  <c:v>Pune</c:v>
                </c:pt>
              </c:strCache>
            </c:strRef>
          </c:cat>
          <c:val>
            <c:numRef>
              <c:f>Charts_Data!$E$6:$E$12</c:f>
              <c:numCache>
                <c:formatCode>"₹"\ #,##0</c:formatCode>
                <c:ptCount val="6"/>
                <c:pt idx="0">
                  <c:v>923308</c:v>
                </c:pt>
                <c:pt idx="1">
                  <c:v>514251</c:v>
                </c:pt>
                <c:pt idx="2">
                  <c:v>814274</c:v>
                </c:pt>
                <c:pt idx="3">
                  <c:v>475463</c:v>
                </c:pt>
                <c:pt idx="4">
                  <c:v>399369</c:v>
                </c:pt>
                <c:pt idx="5">
                  <c:v>679843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A4D-40AC-B8F8-06364839C0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805487"/>
        <c:axId val="1425865327"/>
      </c:barChart>
      <c:catAx>
        <c:axId val="157805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865327"/>
        <c:crosses val="autoZero"/>
        <c:auto val="1"/>
        <c:lblAlgn val="ctr"/>
        <c:lblOffset val="100"/>
        <c:noMultiLvlLbl val="0"/>
      </c:catAx>
      <c:valAx>
        <c:axId val="1425865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805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[NikhilGoswami_Excel.xlsx]Charts_Data!PivotTable5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Fleet Composition by Fuel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Charts_Data!$B$16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A63-4AA9-8794-39B9423E795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A63-4AA9-8794-39B9423E795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A63-4AA9-8794-39B9423E795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A63-4AA9-8794-39B9423E795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Charts_Data!$A$17:$A$21</c:f>
              <c:strCache>
                <c:ptCount val="4"/>
                <c:pt idx="0">
                  <c:v>CNG</c:v>
                </c:pt>
                <c:pt idx="1">
                  <c:v>Diesel</c:v>
                </c:pt>
                <c:pt idx="2">
                  <c:v>Electric</c:v>
                </c:pt>
                <c:pt idx="3">
                  <c:v>Petrol</c:v>
                </c:pt>
              </c:strCache>
            </c:strRef>
          </c:cat>
          <c:val>
            <c:numRef>
              <c:f>Charts_Data!$B$17:$B$21</c:f>
              <c:numCache>
                <c:formatCode>General</c:formatCode>
                <c:ptCount val="4"/>
                <c:pt idx="0">
                  <c:v>5</c:v>
                </c:pt>
                <c:pt idx="1">
                  <c:v>9</c:v>
                </c:pt>
                <c:pt idx="2">
                  <c:v>4</c:v>
                </c:pt>
                <c:pt idx="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A63-4AA9-8794-39B9423E795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[NikhilGoswami_Excel.xlsx]Charts_Data!PivotTable7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Revenue Trend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Charts_Data!$B$25:$B$26</c:f>
              <c:strCache>
                <c:ptCount val="1"/>
                <c:pt idx="0">
                  <c:v>Bangalore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Charts_Data!$A$27:$A$31</c:f>
              <c:strCache>
                <c:ptCount val="4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</c:strCache>
            </c:strRef>
          </c:cat>
          <c:val>
            <c:numRef>
              <c:f>Charts_Data!$B$27:$B$31</c:f>
              <c:numCache>
                <c:formatCode>General</c:formatCode>
                <c:ptCount val="4"/>
                <c:pt idx="0">
                  <c:v>433604</c:v>
                </c:pt>
                <c:pt idx="1">
                  <c:v>864165</c:v>
                </c:pt>
                <c:pt idx="2">
                  <c:v>822597</c:v>
                </c:pt>
                <c:pt idx="3">
                  <c:v>1004529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2E-4EED-8717-73E110D75CAB}"/>
            </c:ext>
          </c:extLst>
        </c:ser>
        <c:ser>
          <c:idx val="1"/>
          <c:order val="1"/>
          <c:tx>
            <c:strRef>
              <c:f>Charts_Data!$C$25:$C$26</c:f>
              <c:strCache>
                <c:ptCount val="1"/>
                <c:pt idx="0">
                  <c:v>Chennai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Charts_Data!$A$27:$A$31</c:f>
              <c:strCache>
                <c:ptCount val="4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</c:strCache>
            </c:strRef>
          </c:cat>
          <c:val>
            <c:numRef>
              <c:f>Charts_Data!$C$27:$C$31</c:f>
              <c:numCache>
                <c:formatCode>General</c:formatCode>
                <c:ptCount val="4"/>
                <c:pt idx="0">
                  <c:v>1057346</c:v>
                </c:pt>
                <c:pt idx="1">
                  <c:v>450498</c:v>
                </c:pt>
                <c:pt idx="2">
                  <c:v>306400</c:v>
                </c:pt>
                <c:pt idx="3">
                  <c:v>866657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2E-4EED-8717-73E110D75CAB}"/>
            </c:ext>
          </c:extLst>
        </c:ser>
        <c:ser>
          <c:idx val="2"/>
          <c:order val="2"/>
          <c:tx>
            <c:strRef>
              <c:f>Charts_Data!$D$25:$D$26</c:f>
              <c:strCache>
                <c:ptCount val="1"/>
                <c:pt idx="0">
                  <c:v>Delhi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Charts_Data!$A$27:$A$31</c:f>
              <c:strCache>
                <c:ptCount val="4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</c:strCache>
            </c:strRef>
          </c:cat>
          <c:val>
            <c:numRef>
              <c:f>Charts_Data!$D$27:$D$31</c:f>
              <c:numCache>
                <c:formatCode>General</c:formatCode>
                <c:ptCount val="4"/>
                <c:pt idx="0">
                  <c:v>538048</c:v>
                </c:pt>
                <c:pt idx="1">
                  <c:v>1024075</c:v>
                </c:pt>
                <c:pt idx="2">
                  <c:v>617248</c:v>
                </c:pt>
                <c:pt idx="3">
                  <c:v>624249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72E-4EED-8717-73E110D75CAB}"/>
            </c:ext>
          </c:extLst>
        </c:ser>
        <c:ser>
          <c:idx val="3"/>
          <c:order val="3"/>
          <c:tx>
            <c:strRef>
              <c:f>Charts_Data!$E$25:$E$26</c:f>
              <c:strCache>
                <c:ptCount val="1"/>
                <c:pt idx="0">
                  <c:v>Hyderabad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Charts_Data!$A$27:$A$31</c:f>
              <c:strCache>
                <c:ptCount val="4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</c:strCache>
            </c:strRef>
          </c:cat>
          <c:val>
            <c:numRef>
              <c:f>Charts_Data!$E$27:$E$31</c:f>
              <c:numCache>
                <c:formatCode>General</c:formatCode>
                <c:ptCount val="4"/>
                <c:pt idx="0">
                  <c:v>457659</c:v>
                </c:pt>
                <c:pt idx="1">
                  <c:v>542406</c:v>
                </c:pt>
                <c:pt idx="2">
                  <c:v>903625</c:v>
                </c:pt>
                <c:pt idx="3">
                  <c:v>1060503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72E-4EED-8717-73E110D75CAB}"/>
            </c:ext>
          </c:extLst>
        </c:ser>
        <c:ser>
          <c:idx val="4"/>
          <c:order val="4"/>
          <c:tx>
            <c:strRef>
              <c:f>Charts_Data!$F$25:$F$26</c:f>
              <c:strCache>
                <c:ptCount val="1"/>
                <c:pt idx="0">
                  <c:v>Mumbai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Charts_Data!$A$27:$A$31</c:f>
              <c:strCache>
                <c:ptCount val="4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</c:strCache>
            </c:strRef>
          </c:cat>
          <c:val>
            <c:numRef>
              <c:f>Charts_Data!$F$27:$F$31</c:f>
              <c:numCache>
                <c:formatCode>General</c:formatCode>
                <c:ptCount val="4"/>
                <c:pt idx="0">
                  <c:v>471054</c:v>
                </c:pt>
                <c:pt idx="1">
                  <c:v>942327</c:v>
                </c:pt>
                <c:pt idx="2">
                  <c:v>722160</c:v>
                </c:pt>
                <c:pt idx="3">
                  <c:v>643684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72E-4EED-8717-73E110D75CAB}"/>
            </c:ext>
          </c:extLst>
        </c:ser>
        <c:ser>
          <c:idx val="5"/>
          <c:order val="5"/>
          <c:tx>
            <c:strRef>
              <c:f>Charts_Data!$G$25:$G$26</c:f>
              <c:strCache>
                <c:ptCount val="1"/>
                <c:pt idx="0">
                  <c:v>Pune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Charts_Data!$A$27:$A$31</c:f>
              <c:strCache>
                <c:ptCount val="4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</c:strCache>
            </c:strRef>
          </c:cat>
          <c:val>
            <c:numRef>
              <c:f>Charts_Data!$G$27:$G$31</c:f>
              <c:numCache>
                <c:formatCode>General</c:formatCode>
                <c:ptCount val="4"/>
                <c:pt idx="0">
                  <c:v>807403</c:v>
                </c:pt>
                <c:pt idx="1">
                  <c:v>562598</c:v>
                </c:pt>
                <c:pt idx="2">
                  <c:v>674868</c:v>
                </c:pt>
                <c:pt idx="3">
                  <c:v>569474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72E-4EED-8717-73E110D75C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591567"/>
        <c:axId val="275729007"/>
      </c:lineChart>
      <c:catAx>
        <c:axId val="200591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729007"/>
        <c:crosses val="autoZero"/>
        <c:auto val="1"/>
        <c:lblAlgn val="ctr"/>
        <c:lblOffset val="100"/>
        <c:noMultiLvlLbl val="0"/>
      </c:catAx>
      <c:valAx>
        <c:axId val="275729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591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[NikhilGoswami_Excel.xlsx]Charts_Data!PivotTable8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Charts_Data!$B$35</c:f>
              <c:strCache>
                <c:ptCount val="1"/>
                <c:pt idx="0">
                  <c:v>Sum of Revenue_INR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Charts_Data!$A$36:$A$42</c:f>
              <c:strCache>
                <c:ptCount val="6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Mumbai</c:v>
                </c:pt>
                <c:pt idx="5">
                  <c:v>Pune</c:v>
                </c:pt>
              </c:strCache>
            </c:strRef>
          </c:cat>
          <c:val>
            <c:numRef>
              <c:f>Charts_Data!$B$36:$B$42</c:f>
              <c:numCache>
                <c:formatCode>General</c:formatCode>
                <c:ptCount val="6"/>
                <c:pt idx="0">
                  <c:v>3124895</c:v>
                </c:pt>
                <c:pt idx="1">
                  <c:v>2680901</c:v>
                </c:pt>
                <c:pt idx="2">
                  <c:v>2803620</c:v>
                </c:pt>
                <c:pt idx="3">
                  <c:v>2964193</c:v>
                </c:pt>
                <c:pt idx="4">
                  <c:v>2779225</c:v>
                </c:pt>
                <c:pt idx="5">
                  <c:v>2614343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CC-4C36-8F9B-5DE7239A85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97312015"/>
        <c:axId val="300175471"/>
      </c:barChart>
      <c:lineChart>
        <c:grouping val="standard"/>
        <c:varyColors val="0"/>
        <c:ser>
          <c:idx val="1"/>
          <c:order val="1"/>
          <c:tx>
            <c:strRef>
              <c:f>Charts_Data!$C$35</c:f>
              <c:strCache>
                <c:ptCount val="1"/>
                <c:pt idx="0">
                  <c:v>Sum of Total_Trips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Charts_Data!$A$36:$A$42</c:f>
              <c:strCache>
                <c:ptCount val="6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Mumbai</c:v>
                </c:pt>
                <c:pt idx="5">
                  <c:v>Pune</c:v>
                </c:pt>
              </c:strCache>
            </c:strRef>
          </c:cat>
          <c:val>
            <c:numRef>
              <c:f>Charts_Data!$C$36:$C$42</c:f>
              <c:numCache>
                <c:formatCode>General</c:formatCode>
                <c:ptCount val="6"/>
                <c:pt idx="0">
                  <c:v>4495</c:v>
                </c:pt>
                <c:pt idx="1">
                  <c:v>4141</c:v>
                </c:pt>
                <c:pt idx="2">
                  <c:v>3910</c:v>
                </c:pt>
                <c:pt idx="3">
                  <c:v>5346</c:v>
                </c:pt>
                <c:pt idx="4">
                  <c:v>4300</c:v>
                </c:pt>
                <c:pt idx="5">
                  <c:v>4199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CC-4C36-8F9B-5DE7239A85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7407135"/>
        <c:axId val="300220591"/>
      </c:lineChart>
      <c:catAx>
        <c:axId val="297312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175471"/>
        <c:crosses val="autoZero"/>
        <c:auto val="1"/>
        <c:lblAlgn val="ctr"/>
        <c:lblOffset val="100"/>
        <c:noMultiLvlLbl val="0"/>
      </c:catAx>
      <c:valAx>
        <c:axId val="300175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312015"/>
        <c:crosses val="autoZero"/>
        <c:crossBetween val="between"/>
      </c:valAx>
      <c:valAx>
        <c:axId val="30022059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407135"/>
        <c:crosses val="max"/>
        <c:crossBetween val="between"/>
      </c:valAx>
      <c:catAx>
        <c:axId val="29740713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0022059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179070</xdr:rowOff>
    </xdr:from>
    <xdr:to>
      <xdr:col>9</xdr:col>
      <xdr:colOff>7620</xdr:colOff>
      <xdr:row>16</xdr:row>
      <xdr:rowOff>179070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400D6471-BCAF-08BD-D2E0-73010825DA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312420</xdr:colOff>
      <xdr:row>2</xdr:row>
      <xdr:rowOff>0</xdr:rowOff>
    </xdr:from>
    <xdr:to>
      <xdr:col>17</xdr:col>
      <xdr:colOff>7620</xdr:colOff>
      <xdr:row>17</xdr:row>
      <xdr:rowOff>7620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C86524DE-AC0D-3E3A-1674-B6548E6FD7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7620</xdr:colOff>
      <xdr:row>19</xdr:row>
      <xdr:rowOff>3810</xdr:rowOff>
    </xdr:from>
    <xdr:to>
      <xdr:col>8</xdr:col>
      <xdr:colOff>601980</xdr:colOff>
      <xdr:row>34</xdr:row>
      <xdr:rowOff>3810</xdr:rowOff>
    </xdr:to>
    <xdr:graphicFrame macro="">
      <xdr:nvGraphicFramePr>
        <xdr:cNvPr id="4" name="Chart 5">
          <a:extLst>
            <a:ext uri="{FF2B5EF4-FFF2-40B4-BE49-F238E27FC236}">
              <a16:creationId xmlns:a16="http://schemas.microsoft.com/office/drawing/2014/main" id="{BEF859C7-3E3B-C07D-53B0-98229C2351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350520</xdr:colOff>
      <xdr:row>18</xdr:row>
      <xdr:rowOff>179070</xdr:rowOff>
    </xdr:from>
    <xdr:to>
      <xdr:col>16</xdr:col>
      <xdr:colOff>601980</xdr:colOff>
      <xdr:row>33</xdr:row>
      <xdr:rowOff>179070</xdr:rowOff>
    </xdr:to>
    <xdr:graphicFrame macro="">
      <xdr:nvGraphicFramePr>
        <xdr:cNvPr id="5" name="Chart 6">
          <a:extLst>
            <a:ext uri="{FF2B5EF4-FFF2-40B4-BE49-F238E27FC236}">
              <a16:creationId xmlns:a16="http://schemas.microsoft.com/office/drawing/2014/main" id="{2C71B1BE-77AD-99A9-715B-0DAAFD22FF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2540</xdr:colOff>
      <xdr:row>0</xdr:row>
      <xdr:rowOff>0</xdr:rowOff>
    </xdr:from>
    <xdr:to>
      <xdr:col>12</xdr:col>
      <xdr:colOff>48260</xdr:colOff>
      <xdr:row>1</xdr:row>
      <xdr:rowOff>601980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10555FE-4865-D36B-0D26-1305571A00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972" b="34671"/>
        <a:stretch>
          <a:fillRect/>
        </a:stretch>
      </xdr:blipFill>
      <xdr:spPr>
        <a:xfrm>
          <a:off x="10447020" y="0"/>
          <a:ext cx="2331720" cy="784860"/>
        </a:xfrm>
        <a:prstGeom prst="rect">
          <a:avLst/>
        </a:prstGeom>
      </xdr:spPr>
    </xdr:pic>
    <xdr:clientData/>
  </xdr:twoCellAnchor>
  <xdr:twoCellAnchor>
    <xdr:from>
      <xdr:col>0</xdr:col>
      <xdr:colOff>45720</xdr:colOff>
      <xdr:row>3</xdr:row>
      <xdr:rowOff>7620</xdr:rowOff>
    </xdr:from>
    <xdr:to>
      <xdr:col>2</xdr:col>
      <xdr:colOff>838200</xdr:colOff>
      <xdr:row>5</xdr:row>
      <xdr:rowOff>167640</xdr:rowOff>
    </xdr:to>
    <xdr:sp macro="" textlink="O4">
      <xdr:nvSpPr>
        <xdr:cNvPr id="8" name="Rectangle: Rounded Corners 7">
          <a:extLst>
            <a:ext uri="{FF2B5EF4-FFF2-40B4-BE49-F238E27FC236}">
              <a16:creationId xmlns:a16="http://schemas.microsoft.com/office/drawing/2014/main" id="{AEC20F1F-4716-2165-5FD7-477A6C8ED4CC}"/>
            </a:ext>
          </a:extLst>
        </xdr:cNvPr>
        <xdr:cNvSpPr/>
      </xdr:nvSpPr>
      <xdr:spPr>
        <a:xfrm>
          <a:off x="45720" y="1013460"/>
          <a:ext cx="2651760" cy="52578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t>Total Fleet Size  :  </a:t>
          </a:r>
          <a:fld id="{B8313FFE-989B-40AA-B3D4-0DB0729E8154}" type="TxLink">
            <a:rPr lang="en-US" sz="14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l"/>
            <a:t>30</a:t>
          </a:fld>
          <a:endParaRPr lang="en-US" sz="1400" b="0" i="0" u="none" strike="noStrike">
            <a:solidFill>
              <a:schemeClr val="bg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2</xdr:col>
      <xdr:colOff>952500</xdr:colOff>
      <xdr:row>3</xdr:row>
      <xdr:rowOff>7620</xdr:rowOff>
    </xdr:from>
    <xdr:to>
      <xdr:col>5</xdr:col>
      <xdr:colOff>609600</xdr:colOff>
      <xdr:row>6</xdr:row>
      <xdr:rowOff>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61862E2F-D050-4501-AE27-52E43B4B4B3B}"/>
            </a:ext>
          </a:extLst>
        </xdr:cNvPr>
        <xdr:cNvSpPr/>
      </xdr:nvSpPr>
      <xdr:spPr>
        <a:xfrm>
          <a:off x="3319780" y="1013460"/>
          <a:ext cx="3649980" cy="5410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IN" sz="1400"/>
            <a:t>Active Vehicles : </a:t>
          </a:r>
          <a:r>
            <a:rPr lang="en-US" sz="14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t>25</a:t>
          </a:r>
        </a:p>
        <a:p>
          <a:pPr marL="0" indent="0" algn="l"/>
          <a:endParaRPr lang="en-US" sz="1100" b="0" i="0" u="none" strike="noStrike">
            <a:solidFill>
              <a:schemeClr val="bg1"/>
            </a:solidFill>
            <a:latin typeface="Calibri"/>
            <a:ea typeface="Calibri"/>
            <a:cs typeface="Calibri"/>
          </a:endParaRPr>
        </a:p>
        <a:p>
          <a:pPr marL="0" indent="0" algn="l"/>
          <a:endParaRPr lang="en-US" sz="1100" b="0" i="0" u="none" strike="noStrike">
            <a:solidFill>
              <a:schemeClr val="bg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5</xdr:col>
      <xdr:colOff>812800</xdr:colOff>
      <xdr:row>3</xdr:row>
      <xdr:rowOff>0</xdr:rowOff>
    </xdr:from>
    <xdr:to>
      <xdr:col>9</xdr:col>
      <xdr:colOff>416560</xdr:colOff>
      <xdr:row>6</xdr:row>
      <xdr:rowOff>15240</xdr:rowOff>
    </xdr:to>
    <xdr:sp macro="" textlink="O6">
      <xdr:nvSpPr>
        <xdr:cNvPr id="11" name="Rectangle: Rounded Corners 10">
          <a:extLst>
            <a:ext uri="{FF2B5EF4-FFF2-40B4-BE49-F238E27FC236}">
              <a16:creationId xmlns:a16="http://schemas.microsoft.com/office/drawing/2014/main" id="{6A629AF1-D9D8-05DD-942B-546A935AAC17}"/>
            </a:ext>
          </a:extLst>
        </xdr:cNvPr>
        <xdr:cNvSpPr/>
      </xdr:nvSpPr>
      <xdr:spPr>
        <a:xfrm>
          <a:off x="7172960" y="1005840"/>
          <a:ext cx="3078480" cy="56388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>
              <a:solidFill>
                <a:schemeClr val="bg1"/>
              </a:solidFill>
            </a:rPr>
            <a:t>Total Revenue : </a:t>
          </a:r>
          <a:fld id="{EA10D4CD-7C1B-40B7-9F43-B954ED50FB67}" type="TxLink">
            <a:rPr lang="en-US" sz="11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l"/>
            <a:t> ₹ 1,69,67,177.00 </a:t>
          </a:fld>
          <a:endParaRPr lang="en-IN" sz="1100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558800</xdr:colOff>
      <xdr:row>2</xdr:row>
      <xdr:rowOff>167640</xdr:rowOff>
    </xdr:from>
    <xdr:to>
      <xdr:col>12</xdr:col>
      <xdr:colOff>716280</xdr:colOff>
      <xdr:row>6</xdr:row>
      <xdr:rowOff>0</xdr:rowOff>
    </xdr:to>
    <xdr:sp macro="" textlink="O7">
      <xdr:nvSpPr>
        <xdr:cNvPr id="12" name="Rectangle: Rounded Corners 11">
          <a:extLst>
            <a:ext uri="{FF2B5EF4-FFF2-40B4-BE49-F238E27FC236}">
              <a16:creationId xmlns:a16="http://schemas.microsoft.com/office/drawing/2014/main" id="{10F9F4A1-F068-6D42-E753-2ABF369836E8}"/>
            </a:ext>
          </a:extLst>
        </xdr:cNvPr>
        <xdr:cNvSpPr/>
      </xdr:nvSpPr>
      <xdr:spPr>
        <a:xfrm>
          <a:off x="10393680" y="990600"/>
          <a:ext cx="3053080" cy="56388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Average Driver Rating</a:t>
          </a:r>
          <a:r>
            <a:rPr lang="en-IN">
              <a:solidFill>
                <a:schemeClr val="bg1"/>
              </a:solidFill>
              <a:effectLst/>
            </a:rPr>
            <a:t> : </a:t>
          </a:r>
          <a:fld id="{B7C273C9-7AEF-4AA7-9416-6B40484AF12C}" type="TxLink">
            <a:rPr lang="en-US" sz="11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l"/>
            <a:t>4.206666667</a:t>
          </a:fld>
          <a:endParaRPr lang="en-IN" sz="11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708660</xdr:colOff>
      <xdr:row>11</xdr:row>
      <xdr:rowOff>30480</xdr:rowOff>
    </xdr:from>
    <xdr:to>
      <xdr:col>1</xdr:col>
      <xdr:colOff>815340</xdr:colOff>
      <xdr:row>11</xdr:row>
      <xdr:rowOff>137160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4CD5EF52-294E-8EE9-6941-23ACFB780B8C}"/>
            </a:ext>
          </a:extLst>
        </xdr:cNvPr>
        <xdr:cNvSpPr/>
      </xdr:nvSpPr>
      <xdr:spPr>
        <a:xfrm>
          <a:off x="1958340" y="2583180"/>
          <a:ext cx="106680" cy="106680"/>
        </a:xfrm>
        <a:prstGeom prst="triangle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762000</xdr:colOff>
      <xdr:row>11</xdr:row>
      <xdr:rowOff>30480</xdr:rowOff>
    </xdr:from>
    <xdr:to>
      <xdr:col>3</xdr:col>
      <xdr:colOff>868680</xdr:colOff>
      <xdr:row>11</xdr:row>
      <xdr:rowOff>137160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143CF200-9670-49D5-92E8-D7A56DD09D07}"/>
            </a:ext>
          </a:extLst>
        </xdr:cNvPr>
        <xdr:cNvSpPr/>
      </xdr:nvSpPr>
      <xdr:spPr>
        <a:xfrm>
          <a:off x="4457700" y="2583180"/>
          <a:ext cx="106680" cy="106680"/>
        </a:xfrm>
        <a:prstGeom prst="triangle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952500</xdr:colOff>
      <xdr:row>11</xdr:row>
      <xdr:rowOff>45720</xdr:rowOff>
    </xdr:from>
    <xdr:to>
      <xdr:col>2</xdr:col>
      <xdr:colOff>1059180</xdr:colOff>
      <xdr:row>11</xdr:row>
      <xdr:rowOff>152400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6EACFA13-8C89-473A-96B0-8FE16BB521A4}"/>
            </a:ext>
          </a:extLst>
        </xdr:cNvPr>
        <xdr:cNvSpPr/>
      </xdr:nvSpPr>
      <xdr:spPr>
        <a:xfrm rot="10800000">
          <a:off x="3322320" y="2598420"/>
          <a:ext cx="106680" cy="106680"/>
        </a:xfrm>
        <a:prstGeom prst="triangl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khil Goswami" refreshedDate="46206.748647337961" createdVersion="8" refreshedVersion="8" minRefreshableVersion="3" recordCount="96" xr:uid="{656FCDBA-7943-4FC3-98F6-916A04DCEE25}">
  <cacheSource type="worksheet">
    <worksheetSource ref="A1:N97" sheet="Cleaned_Revenue"/>
  </cacheSource>
  <cacheFields count="14">
    <cacheField name="Month" numFmtId="0">
      <sharedItems count="4">
        <s v="January"/>
        <s v="February"/>
        <s v="March"/>
        <s v="April"/>
      </sharedItems>
    </cacheField>
    <cacheField name="City" numFmtId="0">
      <sharedItems count="6">
        <s v="Mumbai"/>
        <s v="Delhi"/>
        <s v="Bangalore"/>
        <s v="Hyderabad"/>
        <s v="Pune"/>
        <s v="Chennai"/>
      </sharedItems>
    </cacheField>
    <cacheField name="Service_Type" numFmtId="0">
      <sharedItems count="4">
        <s v="Corporate"/>
        <s v="Ride-Hailing"/>
        <s v="Last-Mile"/>
        <s v="Shuttle"/>
      </sharedItems>
    </cacheField>
    <cacheField name="Total_Trips" numFmtId="0">
      <sharedItems containsSemiMixedTypes="0" containsString="0" containsNumber="1" containsInteger="1" minValue="52" maxValue="495"/>
    </cacheField>
    <cacheField name="Completed_Trips" numFmtId="0">
      <sharedItems containsSemiMixedTypes="0" containsString="0" containsNumber="1" containsInteger="1" minValue="46" maxValue="457"/>
    </cacheField>
    <cacheField name="Cancelled_Trips" numFmtId="0">
      <sharedItems containsSemiMixedTypes="0" containsString="0" containsNumber="1" containsInteger="1" minValue="5" maxValue="65"/>
    </cacheField>
    <cacheField name="Revenue_INR" numFmtId="0">
      <sharedItems containsSemiMixedTypes="0" containsString="0" containsNumber="1" containsInteger="1" minValue="16833" maxValue="478187"/>
    </cacheField>
    <cacheField name="Fuel_Cost_INR" numFmtId="0">
      <sharedItems containsSemiMixedTypes="0" containsString="0" containsNumber="1" containsInteger="1" minValue="3130" maxValue="141494"/>
    </cacheField>
    <cacheField name="Maintenance_Cost_INR" numFmtId="0">
      <sharedItems containsSemiMixedTypes="0" containsString="0" containsNumber="1" containsInteger="1" minValue="1402" maxValue="56151"/>
    </cacheField>
    <cacheField name="Driver_Cost_INR" numFmtId="0">
      <sharedItems containsSemiMixedTypes="0" containsString="0" containsNumber="1" containsInteger="1" minValue="5282" maxValue="160579"/>
    </cacheField>
    <cacheField name="Profit_INR" numFmtId="0">
      <sharedItems containsSemiMixedTypes="0" containsString="0" containsNumber="1" containsInteger="1" minValue="6989" maxValue="165770"/>
    </cacheField>
    <cacheField name="Recalculated_Profit" numFmtId="0">
      <sharedItems containsSemiMixedTypes="0" containsString="0" containsNumber="1" containsInteger="1" minValue="7019" maxValue="166082"/>
    </cacheField>
    <cacheField name="Profit_Margin_%" numFmtId="10">
      <sharedItems containsSemiMixedTypes="0" containsString="0" containsNumber="1" minValue="0.25087047535796664" maxValue="0.52475450431218518"/>
    </cacheField>
    <cacheField name="Error_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khil Goswami" refreshedDate="46206.753707638891" createdVersion="8" refreshedVersion="8" minRefreshableVersion="3" recordCount="100" xr:uid="{59E24E03-1AE1-4DAE-A3A6-06430BCAC9B3}">
  <cacheSource type="worksheet">
    <worksheetSource ref="A1:P101" sheet="Trip_Data"/>
  </cacheSource>
  <cacheFields count="16">
    <cacheField name="Trip_ID" numFmtId="0">
      <sharedItems/>
    </cacheField>
    <cacheField name="Vehicle_ID" numFmtId="0">
      <sharedItems/>
    </cacheField>
    <cacheField name="Driver_ID" numFmtId="0">
      <sharedItems/>
    </cacheField>
    <cacheField name="Trip_Date" numFmtId="0">
      <sharedItems/>
    </cacheField>
    <cacheField name="City" numFmtId="0">
      <sharedItems count="6">
        <s v="Bangalore"/>
        <s v="Delhi"/>
        <s v="Hyderabad"/>
        <s v="Mumbai"/>
        <s v="Chennai"/>
        <s v="Pune"/>
      </sharedItems>
    </cacheField>
    <cacheField name="Service_Type" numFmtId="0">
      <sharedItems count="4">
        <s v="Ride-Hailing"/>
        <s v="Shuttle"/>
        <s v="Corporate"/>
        <s v="Last-Mile"/>
      </sharedItems>
    </cacheField>
    <cacheField name="Distance_km" numFmtId="0">
      <sharedItems containsSemiMixedTypes="0" containsString="0" containsNumber="1" minValue="3.8" maxValue="65"/>
    </cacheField>
    <cacheField name="Duration_min" numFmtId="0">
      <sharedItems containsSemiMixedTypes="0" containsString="0" containsNumber="1" containsInteger="1" minValue="24" maxValue="283"/>
    </cacheField>
    <cacheField name="Base_Fare_INR" numFmtId="0">
      <sharedItems containsSemiMixedTypes="0" containsString="0" containsNumber="1" minValue="93.11" maxValue="1106.54"/>
    </cacheField>
    <cacheField name="Surge_Multiplier" numFmtId="0">
      <sharedItems containsSemiMixedTypes="0" containsString="0" containsNumber="1" minValue="1" maxValue="2"/>
    </cacheField>
    <cacheField name="Total_Fare_INR" numFmtId="0">
      <sharedItems containsSemiMixedTypes="0" containsString="0" containsNumber="1" minValue="93.11" maxValue="1940.04"/>
    </cacheField>
    <cacheField name="Payment_Mode" numFmtId="0">
      <sharedItems/>
    </cacheField>
    <cacheField name="Customer_Rating" numFmtId="0">
      <sharedItems containsString="0" containsBlank="1" containsNumber="1" minValue="2.5" maxValue="5"/>
    </cacheField>
    <cacheField name="Wait_Time_min" numFmtId="0">
      <sharedItems containsSemiMixedTypes="0" containsString="0" containsNumber="1" minValue="1.1000000000000001" maxValue="24.9"/>
    </cacheField>
    <cacheField name="Cancelled" numFmtId="0">
      <sharedItems/>
    </cacheField>
    <cacheField name="Valida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khil Goswami" refreshedDate="46206.761960763892" createdVersion="8" refreshedVersion="8" minRefreshableVersion="3" recordCount="60" xr:uid="{DC056EB9-4607-48A9-B3A9-34A75A0ADADA}">
  <cacheSource type="worksheet">
    <worksheetSource ref="A1:K61" sheet="Maintenance_Data"/>
  </cacheSource>
  <cacheFields count="11">
    <cacheField name="Maintenance_ID" numFmtId="0">
      <sharedItems/>
    </cacheField>
    <cacheField name="Vehicle_ID" numFmtId="0">
      <sharedItems/>
    </cacheField>
    <cacheField name="Make" numFmtId="0">
      <sharedItems count="9">
        <s v="BYD"/>
        <s v="Maruti"/>
        <s v="Hyundai"/>
        <s v="Tata"/>
        <s v="Mahindra"/>
        <s v="Honda"/>
        <s v="Toyota"/>
        <s v="Kia"/>
        <s v="MG"/>
      </sharedItems>
    </cacheField>
    <cacheField name="Maintenance_Type" numFmtId="0">
      <sharedItems count="9">
        <s v="Battery Replacement"/>
        <s v="Brake Repair"/>
        <s v="Tire Replacement"/>
        <s v="Suspension Repair"/>
        <s v="Electrical Issue"/>
        <s v="Body Repair"/>
        <s v="Engine Overhaul"/>
        <s v="Oil Change"/>
        <s v="Scheduled Service"/>
      </sharedItems>
    </cacheField>
    <cacheField name="Date" numFmtId="0">
      <sharedItems/>
    </cacheField>
    <cacheField name="Cost_INR" numFmtId="0">
      <sharedItems containsSemiMixedTypes="0" containsString="0" containsNumber="1" containsInteger="1" minValue="2748" maxValue="44009"/>
    </cacheField>
    <cacheField name="Downtime_Days" numFmtId="0">
      <sharedItems containsSemiMixedTypes="0" containsString="0" containsNumber="1" containsInteger="1" minValue="0" maxValue="15"/>
    </cacheField>
    <cacheField name="Vendor" numFmtId="0">
      <sharedItems/>
    </cacheField>
    <cacheField name="Parts_Replaced" numFmtId="0">
      <sharedItems/>
    </cacheField>
    <cacheField name="Next_Due_Date" numFmtId="0">
      <sharedItems/>
    </cacheField>
    <cacheField name="Priorit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khil Goswami" refreshedDate="46206.795534027777" createdVersion="8" refreshedVersion="8" minRefreshableVersion="3" recordCount="30" xr:uid="{E311E870-57AB-49FC-8143-D36D26C6375D}">
  <cacheSource type="worksheet">
    <worksheetSource ref="A1:O31" sheet="Fleet_Vehicle_Data"/>
  </cacheSource>
  <cacheFields count="15">
    <cacheField name="Vehicle_ID" numFmtId="0">
      <sharedItems/>
    </cacheField>
    <cacheField name="Make" numFmtId="0">
      <sharedItems/>
    </cacheField>
    <cacheField name="Model" numFmtId="0">
      <sharedItems/>
    </cacheField>
    <cacheField name="Year" numFmtId="0">
      <sharedItems containsSemiMixedTypes="0" containsString="0" containsNumber="1" containsInteger="1" minValue="2019" maxValue="2023"/>
    </cacheField>
    <cacheField name="Body_Type" numFmtId="0">
      <sharedItems/>
    </cacheField>
    <cacheField name="Fuel_Type" numFmtId="0">
      <sharedItems count="4">
        <s v="Petrol"/>
        <s v="Diesel"/>
        <s v="CNG"/>
        <s v="Electric"/>
      </sharedItems>
    </cacheField>
    <cacheField name="Odometer_km" numFmtId="3">
      <sharedItems containsSemiMixedTypes="0" containsString="0" containsNumber="1" containsInteger="1" minValue="8000" maxValue="95000"/>
    </cacheField>
    <cacheField name="Status" numFmtId="0">
      <sharedItems/>
    </cacheField>
    <cacheField name="City" numFmtId="0">
      <sharedItems/>
    </cacheField>
    <cacheField name="Service_Type" numFmtId="0">
      <sharedItems/>
    </cacheField>
    <cacheField name="Mileage_kmpl" numFmtId="0">
      <sharedItems containsSemiMixedTypes="0" containsString="0" containsNumber="1" minValue="0" maxValue="26.8"/>
    </cacheField>
    <cacheField name="Last_Service_Date" numFmtId="0">
      <sharedItems/>
    </cacheField>
    <cacheField name="Monthly_Revenue_INR" numFmtId="164">
      <sharedItems containsSemiMixedTypes="0" containsString="0" containsNumber="1" containsInteger="1" minValue="3200" maxValue="19800"/>
    </cacheField>
    <cacheField name="Insurance_Premium_INR" numFmtId="164">
      <sharedItems containsSemiMixedTypes="0" containsString="0" containsNumber="1" containsInteger="1" minValue="550" maxValue="1800"/>
    </cacheField>
    <cacheField name="Driver_Rating" numFmtId="0">
      <sharedItems containsSemiMixedTypes="0" containsString="0" containsNumber="1" minValue="3.4" maxValue="4.90000000000000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">
  <r>
    <x v="0"/>
    <x v="0"/>
    <x v="0"/>
    <n v="96"/>
    <n v="88"/>
    <n v="8"/>
    <n v="30797"/>
    <n v="8035"/>
    <n v="4131"/>
    <n v="9611"/>
    <n v="8822"/>
    <n v="9020"/>
    <n v="0.29288567068220933"/>
    <s v="ERROR"/>
  </r>
  <r>
    <x v="0"/>
    <x v="0"/>
    <x v="1"/>
    <n v="230"/>
    <n v="196"/>
    <n v="34"/>
    <n v="180685"/>
    <n v="53274"/>
    <n v="21007"/>
    <n v="50788"/>
    <n v="55504"/>
    <n v="55616"/>
    <n v="0.30780640340924814"/>
    <s v="ERROR"/>
  </r>
  <r>
    <x v="0"/>
    <x v="0"/>
    <x v="2"/>
    <n v="257"/>
    <n v="232"/>
    <n v="25"/>
    <n v="213230"/>
    <n v="45702"/>
    <n v="22052"/>
    <n v="62827"/>
    <n v="82782"/>
    <n v="82649"/>
    <n v="0.38760493363973175"/>
    <s v="ERROR"/>
  </r>
  <r>
    <x v="0"/>
    <x v="0"/>
    <x v="3"/>
    <n v="71"/>
    <n v="65"/>
    <n v="6"/>
    <n v="46342"/>
    <n v="7052"/>
    <n v="4470"/>
    <n v="10824"/>
    <n v="23875"/>
    <n v="23996"/>
    <n v="0.51780242544560007"/>
    <s v="ERROR"/>
  </r>
  <r>
    <x v="0"/>
    <x v="1"/>
    <x v="0"/>
    <n v="95"/>
    <n v="82"/>
    <n v="13"/>
    <n v="69232"/>
    <n v="14832"/>
    <n v="5031"/>
    <n v="15978"/>
    <n v="33061"/>
    <n v="33391"/>
    <n v="0.48230587011786458"/>
    <s v="ERROR"/>
  </r>
  <r>
    <x v="0"/>
    <x v="1"/>
    <x v="1"/>
    <n v="219"/>
    <n v="188"/>
    <n v="31"/>
    <n v="39163"/>
    <n v="10726"/>
    <n v="3564"/>
    <n v="9740"/>
    <n v="15252"/>
    <n v="15133"/>
    <n v="0.38641064269846537"/>
    <s v="ERROR"/>
  </r>
  <r>
    <x v="0"/>
    <x v="1"/>
    <x v="2"/>
    <n v="173"/>
    <n v="154"/>
    <n v="19"/>
    <n v="57777"/>
    <n v="10089"/>
    <n v="4675"/>
    <n v="12960"/>
    <n v="29762"/>
    <n v="30053"/>
    <n v="0.52015507901067903"/>
    <s v="ERROR"/>
  </r>
  <r>
    <x v="0"/>
    <x v="1"/>
    <x v="3"/>
    <n v="375"/>
    <n v="362"/>
    <n v="13"/>
    <n v="371876"/>
    <n v="95857"/>
    <n v="49299"/>
    <n v="107055"/>
    <n v="119906"/>
    <n v="119665"/>
    <n v="0.3217873699835429"/>
    <s v="ERROR"/>
  </r>
  <r>
    <x v="0"/>
    <x v="2"/>
    <x v="0"/>
    <n v="254"/>
    <n v="244"/>
    <n v="10"/>
    <n v="110851"/>
    <n v="30196"/>
    <n v="13289"/>
    <n v="27129"/>
    <n v="40007"/>
    <n v="40237"/>
    <n v="0.36298274260042762"/>
    <s v="ERROR"/>
  </r>
  <r>
    <x v="0"/>
    <x v="2"/>
    <x v="1"/>
    <n v="92"/>
    <n v="81"/>
    <n v="11"/>
    <n v="80220"/>
    <n v="18011"/>
    <n v="4561"/>
    <n v="19199"/>
    <n v="38304"/>
    <n v="38449"/>
    <n v="0.4792944402892047"/>
    <s v="ERROR"/>
  </r>
  <r>
    <x v="0"/>
    <x v="2"/>
    <x v="2"/>
    <n v="193"/>
    <n v="181"/>
    <n v="12"/>
    <n v="107202"/>
    <n v="22884"/>
    <n v="11687"/>
    <n v="31661"/>
    <n v="40527"/>
    <n v="40970"/>
    <n v="0.38217570567713288"/>
    <s v="ERROR"/>
  </r>
  <r>
    <x v="0"/>
    <x v="2"/>
    <x v="3"/>
    <n v="171"/>
    <n v="146"/>
    <n v="25"/>
    <n v="135331"/>
    <n v="27512"/>
    <n v="12431"/>
    <n v="41376"/>
    <n v="54074"/>
    <n v="54012"/>
    <n v="0.39911032948843944"/>
    <s v="ERROR"/>
  </r>
  <r>
    <x v="0"/>
    <x v="3"/>
    <x v="0"/>
    <n v="377"/>
    <n v="372"/>
    <n v="5"/>
    <n v="87624"/>
    <n v="22509"/>
    <n v="6134"/>
    <n v="21829"/>
    <n v="37183"/>
    <n v="37152"/>
    <n v="0.42399342645850452"/>
    <s v="ERROR"/>
  </r>
  <r>
    <x v="0"/>
    <x v="3"/>
    <x v="1"/>
    <n v="320"/>
    <n v="290"/>
    <n v="30"/>
    <n v="135634"/>
    <n v="30316"/>
    <n v="15718"/>
    <n v="44604"/>
    <n v="44680"/>
    <n v="44996"/>
    <n v="0.33174572747246267"/>
    <s v="ERROR"/>
  </r>
  <r>
    <x v="0"/>
    <x v="3"/>
    <x v="2"/>
    <n v="156"/>
    <n v="140"/>
    <n v="16"/>
    <n v="90362"/>
    <n v="22325"/>
    <n v="4611"/>
    <n v="31427"/>
    <n v="32057"/>
    <n v="31999"/>
    <n v="0.35412009473008565"/>
    <s v="ERROR"/>
  </r>
  <r>
    <x v="0"/>
    <x v="3"/>
    <x v="3"/>
    <n v="354"/>
    <n v="317"/>
    <n v="37"/>
    <n v="144039"/>
    <n v="31979"/>
    <n v="16456"/>
    <n v="37719"/>
    <n v="57507"/>
    <n v="57885"/>
    <n v="0.40187032678649531"/>
    <s v="ERROR"/>
  </r>
  <r>
    <x v="0"/>
    <x v="4"/>
    <x v="0"/>
    <n v="150"/>
    <n v="136"/>
    <n v="14"/>
    <n v="146028"/>
    <n v="26409"/>
    <n v="14811"/>
    <n v="44781"/>
    <n v="59748"/>
    <n v="60027"/>
    <n v="0.41106500123264034"/>
    <s v="ERROR"/>
  </r>
  <r>
    <x v="0"/>
    <x v="4"/>
    <x v="1"/>
    <n v="463"/>
    <n v="398"/>
    <n v="65"/>
    <n v="323687"/>
    <n v="85934"/>
    <n v="41560"/>
    <n v="66005"/>
    <n v="130126"/>
    <n v="130188"/>
    <n v="0.40220336312548849"/>
    <s v="ERROR"/>
  </r>
  <r>
    <x v="0"/>
    <x v="4"/>
    <x v="2"/>
    <n v="97"/>
    <n v="86"/>
    <n v="11"/>
    <n v="47696"/>
    <n v="11083"/>
    <n v="7123"/>
    <n v="15445"/>
    <n v="13621"/>
    <n v="14045"/>
    <n v="0.2944691378731969"/>
    <s v="ERROR"/>
  </r>
  <r>
    <x v="0"/>
    <x v="4"/>
    <x v="3"/>
    <n v="479"/>
    <n v="457"/>
    <n v="22"/>
    <n v="289992"/>
    <n v="44590"/>
    <n v="36383"/>
    <n v="89578"/>
    <n v="119596"/>
    <n v="119441"/>
    <n v="0.41187687936218931"/>
    <s v="ERROR"/>
  </r>
  <r>
    <x v="0"/>
    <x v="5"/>
    <x v="0"/>
    <n v="469"/>
    <n v="430"/>
    <n v="39"/>
    <n v="405150"/>
    <n v="103458"/>
    <n v="22235"/>
    <n v="120259"/>
    <n v="159335"/>
    <n v="159198"/>
    <n v="0.39293594964827844"/>
    <s v="ERROR"/>
  </r>
  <r>
    <x v="0"/>
    <x v="5"/>
    <x v="1"/>
    <n v="85"/>
    <n v="74"/>
    <n v="11"/>
    <n v="54785"/>
    <n v="10207"/>
    <n v="2858"/>
    <n v="14623"/>
    <n v="26634"/>
    <n v="27097"/>
    <n v="0.4946061878251346"/>
    <s v="ERROR"/>
  </r>
  <r>
    <x v="0"/>
    <x v="5"/>
    <x v="2"/>
    <n v="269"/>
    <n v="264"/>
    <n v="5"/>
    <n v="269136"/>
    <n v="60657"/>
    <n v="34584"/>
    <n v="62889"/>
    <n v="110655"/>
    <n v="111006"/>
    <n v="0.41245318352059923"/>
    <s v="ERROR"/>
  </r>
  <r>
    <x v="0"/>
    <x v="5"/>
    <x v="3"/>
    <n v="485"/>
    <n v="444"/>
    <n v="41"/>
    <n v="328275"/>
    <n v="82380"/>
    <n v="32854"/>
    <n v="78822"/>
    <n v="134410"/>
    <n v="134219"/>
    <n v="0.40886147285050645"/>
    <s v="ERROR"/>
  </r>
  <r>
    <x v="1"/>
    <x v="0"/>
    <x v="0"/>
    <n v="253"/>
    <n v="218"/>
    <n v="35"/>
    <n v="163741"/>
    <n v="32380"/>
    <n v="10177"/>
    <n v="57020"/>
    <n v="63770"/>
    <n v="64164"/>
    <n v="0.39186275886918975"/>
    <s v="ERROR"/>
  </r>
  <r>
    <x v="1"/>
    <x v="0"/>
    <x v="1"/>
    <n v="355"/>
    <n v="348"/>
    <n v="7"/>
    <n v="290272"/>
    <n v="85229"/>
    <n v="23276"/>
    <n v="68239"/>
    <n v="113201"/>
    <n v="113528"/>
    <n v="0.3911090287730129"/>
    <s v="ERROR"/>
  </r>
  <r>
    <x v="1"/>
    <x v="0"/>
    <x v="2"/>
    <n v="383"/>
    <n v="373"/>
    <n v="10"/>
    <n v="254094"/>
    <n v="65178"/>
    <n v="24051"/>
    <n v="51873"/>
    <n v="113482"/>
    <n v="112992"/>
    <n v="0.44468582493093106"/>
    <s v="ERROR"/>
  </r>
  <r>
    <x v="1"/>
    <x v="0"/>
    <x v="3"/>
    <n v="245"/>
    <n v="236"/>
    <n v="9"/>
    <n v="234220"/>
    <n v="40145"/>
    <n v="23127"/>
    <n v="48040"/>
    <n v="123210"/>
    <n v="122908"/>
    <n v="0.52475450431218518"/>
    <s v="ERROR"/>
  </r>
  <r>
    <x v="1"/>
    <x v="1"/>
    <x v="0"/>
    <n v="430"/>
    <n v="418"/>
    <n v="12"/>
    <n v="113759"/>
    <n v="18184"/>
    <n v="12590"/>
    <n v="32731"/>
    <n v="50327"/>
    <n v="50254"/>
    <n v="0.44175845427614518"/>
    <s v="ERROR"/>
  </r>
  <r>
    <x v="1"/>
    <x v="1"/>
    <x v="1"/>
    <n v="292"/>
    <n v="268"/>
    <n v="24"/>
    <n v="316405"/>
    <n v="82431"/>
    <n v="22577"/>
    <n v="106702"/>
    <n v="105131"/>
    <n v="104695"/>
    <n v="0.33088920845119391"/>
    <s v="ERROR"/>
  </r>
  <r>
    <x v="1"/>
    <x v="1"/>
    <x v="2"/>
    <n v="369"/>
    <n v="339"/>
    <n v="30"/>
    <n v="314741"/>
    <n v="87684"/>
    <n v="20173"/>
    <n v="78842"/>
    <n v="128276"/>
    <n v="128042"/>
    <n v="0.40681703368801647"/>
    <s v="ERROR"/>
  </r>
  <r>
    <x v="1"/>
    <x v="1"/>
    <x v="3"/>
    <n v="294"/>
    <n v="288"/>
    <n v="6"/>
    <n v="279170"/>
    <n v="82688"/>
    <n v="34179"/>
    <n v="80538"/>
    <n v="81988"/>
    <n v="81765"/>
    <n v="0.29288605509187948"/>
    <s v="ERROR"/>
  </r>
  <r>
    <x v="1"/>
    <x v="2"/>
    <x v="0"/>
    <n v="394"/>
    <n v="383"/>
    <n v="11"/>
    <n v="316304"/>
    <n v="74305"/>
    <n v="35202"/>
    <n v="78689"/>
    <n v="128545"/>
    <n v="128108"/>
    <n v="0.40501542819565989"/>
    <s v="ERROR"/>
  </r>
  <r>
    <x v="1"/>
    <x v="2"/>
    <x v="1"/>
    <n v="203"/>
    <n v="190"/>
    <n v="13"/>
    <n v="149562"/>
    <n v="28359"/>
    <n v="14631"/>
    <n v="32155"/>
    <n v="74268"/>
    <n v="74417"/>
    <n v="0.49756622671534212"/>
    <s v="ERROR"/>
  </r>
  <r>
    <x v="1"/>
    <x v="2"/>
    <x v="2"/>
    <n v="444"/>
    <n v="425"/>
    <n v="19"/>
    <n v="133541"/>
    <n v="32365"/>
    <n v="8469"/>
    <n v="26863"/>
    <n v="65726"/>
    <n v="65844"/>
    <n v="0.49306205584801671"/>
    <s v="ERROR"/>
  </r>
  <r>
    <x v="1"/>
    <x v="2"/>
    <x v="3"/>
    <n v="334"/>
    <n v="319"/>
    <n v="15"/>
    <n v="264758"/>
    <n v="43984"/>
    <n v="34359"/>
    <n v="83123"/>
    <n v="103622"/>
    <n v="103292"/>
    <n v="0.39013740850134843"/>
    <s v="ERROR"/>
  </r>
  <r>
    <x v="1"/>
    <x v="3"/>
    <x v="0"/>
    <n v="449"/>
    <n v="394"/>
    <n v="55"/>
    <n v="114776"/>
    <n v="21170"/>
    <n v="5941"/>
    <n v="34240"/>
    <n v="52928"/>
    <n v="53425"/>
    <n v="0.46547187565344672"/>
    <s v="ERROR"/>
  </r>
  <r>
    <x v="1"/>
    <x v="3"/>
    <x v="1"/>
    <n v="351"/>
    <n v="299"/>
    <n v="52"/>
    <n v="201072"/>
    <n v="40065"/>
    <n v="14878"/>
    <n v="56830"/>
    <n v="89166"/>
    <n v="89299"/>
    <n v="0.44411454603326173"/>
    <s v="ERROR"/>
  </r>
  <r>
    <x v="1"/>
    <x v="3"/>
    <x v="2"/>
    <n v="330"/>
    <n v="293"/>
    <n v="37"/>
    <n v="154823"/>
    <n v="24800"/>
    <n v="8012"/>
    <n v="48281"/>
    <n v="73624"/>
    <n v="73730"/>
    <n v="0.47622123327929311"/>
    <s v="ERROR"/>
  </r>
  <r>
    <x v="1"/>
    <x v="3"/>
    <x v="3"/>
    <n v="366"/>
    <n v="346"/>
    <n v="20"/>
    <n v="71735"/>
    <n v="18439"/>
    <n v="5735"/>
    <n v="17548"/>
    <n v="29513"/>
    <n v="30013"/>
    <n v="0.41838711925838157"/>
    <s v="ERROR"/>
  </r>
  <r>
    <x v="1"/>
    <x v="4"/>
    <x v="0"/>
    <n v="191"/>
    <n v="184"/>
    <n v="7"/>
    <n v="181457"/>
    <n v="46549"/>
    <n v="20467"/>
    <n v="57137"/>
    <n v="57091"/>
    <n v="57304"/>
    <n v="0.31579933537973182"/>
    <s v="ERROR"/>
  </r>
  <r>
    <x v="1"/>
    <x v="4"/>
    <x v="1"/>
    <n v="226"/>
    <n v="212"/>
    <n v="14"/>
    <n v="109703"/>
    <n v="17689"/>
    <n v="5718"/>
    <n v="29327"/>
    <n v="56602"/>
    <n v="56969"/>
    <n v="0.51930211571242357"/>
    <s v="ERROR"/>
  </r>
  <r>
    <x v="1"/>
    <x v="4"/>
    <x v="2"/>
    <n v="207"/>
    <n v="176"/>
    <n v="31"/>
    <n v="165016"/>
    <n v="43426"/>
    <n v="15600"/>
    <n v="38560"/>
    <n v="67557"/>
    <n v="67430"/>
    <n v="0.40862704222620838"/>
    <s v="ERROR"/>
  </r>
  <r>
    <x v="1"/>
    <x v="4"/>
    <x v="3"/>
    <n v="247"/>
    <n v="226"/>
    <n v="21"/>
    <n v="106422"/>
    <n v="28207"/>
    <n v="9825"/>
    <n v="25338"/>
    <n v="42668"/>
    <n v="43052"/>
    <n v="0.40454041457593354"/>
    <s v="ERROR"/>
  </r>
  <r>
    <x v="1"/>
    <x v="5"/>
    <x v="0"/>
    <n v="312"/>
    <n v="266"/>
    <n v="46"/>
    <n v="132602"/>
    <n v="38939"/>
    <n v="15758"/>
    <n v="33064"/>
    <n v="44557"/>
    <n v="44841"/>
    <n v="0.33816232032699356"/>
    <s v="ERROR"/>
  </r>
  <r>
    <x v="1"/>
    <x v="5"/>
    <x v="1"/>
    <n v="229"/>
    <n v="197"/>
    <n v="32"/>
    <n v="196211"/>
    <n v="49089"/>
    <n v="22702"/>
    <n v="47980"/>
    <n v="76283"/>
    <n v="76440"/>
    <n v="0.38958060455326154"/>
    <s v="ERROR"/>
  </r>
  <r>
    <x v="1"/>
    <x v="5"/>
    <x v="2"/>
    <n v="150"/>
    <n v="136"/>
    <n v="14"/>
    <n v="74975"/>
    <n v="17133"/>
    <n v="10350"/>
    <n v="23586"/>
    <n v="24165"/>
    <n v="23906"/>
    <n v="0.31885295098366123"/>
    <s v="ERROR"/>
  </r>
  <r>
    <x v="1"/>
    <x v="5"/>
    <x v="3"/>
    <n v="158"/>
    <n v="140"/>
    <n v="18"/>
    <n v="46710"/>
    <n v="10416"/>
    <n v="6550"/>
    <n v="14346"/>
    <n v="15221"/>
    <n v="15398"/>
    <n v="0.32965103832155856"/>
    <s v="ERROR"/>
  </r>
  <r>
    <x v="2"/>
    <x v="0"/>
    <x v="0"/>
    <n v="353"/>
    <n v="322"/>
    <n v="31"/>
    <n v="321968"/>
    <n v="70558"/>
    <n v="41992"/>
    <n v="83626"/>
    <n v="125582"/>
    <n v="125792"/>
    <n v="0.39069721214530634"/>
    <s v="ERROR"/>
  </r>
  <r>
    <x v="2"/>
    <x v="0"/>
    <x v="1"/>
    <n v="467"/>
    <n v="422"/>
    <n v="45"/>
    <n v="116312"/>
    <n v="26574"/>
    <n v="10673"/>
    <n v="23970"/>
    <n v="55439"/>
    <n v="55095"/>
    <n v="0.47368285301602586"/>
    <s v="ERROR"/>
  </r>
  <r>
    <x v="2"/>
    <x v="0"/>
    <x v="2"/>
    <n v="281"/>
    <n v="246"/>
    <n v="35"/>
    <n v="194985"/>
    <n v="30714"/>
    <n v="14281"/>
    <n v="49772"/>
    <n v="100677"/>
    <n v="100218"/>
    <n v="0.51397799830756208"/>
    <s v="ERROR"/>
  </r>
  <r>
    <x v="2"/>
    <x v="0"/>
    <x v="3"/>
    <n v="365"/>
    <n v="320"/>
    <n v="45"/>
    <n v="88895"/>
    <n v="16758"/>
    <n v="13172"/>
    <n v="20691"/>
    <n v="38520"/>
    <n v="38274"/>
    <n v="0.43055289948816017"/>
    <s v="ERROR"/>
  </r>
  <r>
    <x v="2"/>
    <x v="1"/>
    <x v="0"/>
    <n v="219"/>
    <n v="198"/>
    <n v="21"/>
    <n v="175953"/>
    <n v="29885"/>
    <n v="26155"/>
    <n v="54979"/>
    <n v="65286"/>
    <n v="64934"/>
    <n v="0.36904173273544638"/>
    <s v="ERROR"/>
  </r>
  <r>
    <x v="2"/>
    <x v="1"/>
    <x v="1"/>
    <n v="387"/>
    <n v="338"/>
    <n v="49"/>
    <n v="137648"/>
    <n v="28944"/>
    <n v="11138"/>
    <n v="33416"/>
    <n v="63828"/>
    <n v="64150"/>
    <n v="0.46604382192258514"/>
    <s v="ERROR"/>
  </r>
  <r>
    <x v="2"/>
    <x v="1"/>
    <x v="2"/>
    <n v="221"/>
    <n v="206"/>
    <n v="15"/>
    <n v="157252"/>
    <n v="31084"/>
    <n v="11662"/>
    <n v="49776"/>
    <n v="64559"/>
    <n v="64730"/>
    <n v="0.41163228448604788"/>
    <s v="ERROR"/>
  </r>
  <r>
    <x v="2"/>
    <x v="1"/>
    <x v="3"/>
    <n v="137"/>
    <n v="125"/>
    <n v="12"/>
    <n v="146395"/>
    <n v="31289"/>
    <n v="7517"/>
    <n v="46704"/>
    <n v="60730"/>
    <n v="60885"/>
    <n v="0.41589535161720004"/>
    <s v="ERROR"/>
  </r>
  <r>
    <x v="2"/>
    <x v="2"/>
    <x v="0"/>
    <n v="468"/>
    <n v="440"/>
    <n v="28"/>
    <n v="369146"/>
    <n v="78124"/>
    <n v="32582"/>
    <n v="92358"/>
    <n v="165770"/>
    <n v="166082"/>
    <n v="0.44990870820759266"/>
    <s v="ERROR"/>
  </r>
  <r>
    <x v="2"/>
    <x v="2"/>
    <x v="1"/>
    <n v="383"/>
    <n v="331"/>
    <n v="52"/>
    <n v="195998"/>
    <n v="57495"/>
    <n v="23345"/>
    <n v="42391"/>
    <n v="72597"/>
    <n v="72767"/>
    <n v="0.37126399248971931"/>
    <s v="ERROR"/>
  </r>
  <r>
    <x v="2"/>
    <x v="2"/>
    <x v="2"/>
    <n v="228"/>
    <n v="208"/>
    <n v="20"/>
    <n v="212421"/>
    <n v="37505"/>
    <n v="20109"/>
    <n v="54910"/>
    <n v="99929"/>
    <n v="99897"/>
    <n v="0.47027836230881126"/>
    <s v="ERROR"/>
  </r>
  <r>
    <x v="2"/>
    <x v="2"/>
    <x v="3"/>
    <n v="91"/>
    <n v="78"/>
    <n v="13"/>
    <n v="45032"/>
    <n v="13150"/>
    <n v="3711"/>
    <n v="15051"/>
    <n v="13451"/>
    <n v="13120"/>
    <n v="0.2913483744892521"/>
    <s v="ERROR"/>
  </r>
  <r>
    <x v="2"/>
    <x v="3"/>
    <x v="0"/>
    <n v="181"/>
    <n v="176"/>
    <n v="5"/>
    <n v="66120"/>
    <n v="15537"/>
    <n v="4329"/>
    <n v="15968"/>
    <n v="29972"/>
    <n v="30286"/>
    <n v="0.45804597701149424"/>
    <s v="ERROR"/>
  </r>
  <r>
    <x v="2"/>
    <x v="3"/>
    <x v="1"/>
    <n v="495"/>
    <n v="440"/>
    <n v="55"/>
    <n v="314627"/>
    <n v="52233"/>
    <n v="16944"/>
    <n v="91211"/>
    <n v="153981"/>
    <n v="154239"/>
    <n v="0.49022811138268491"/>
    <s v="ERROR"/>
  </r>
  <r>
    <x v="2"/>
    <x v="3"/>
    <x v="2"/>
    <n v="446"/>
    <n v="401"/>
    <n v="45"/>
    <n v="324633"/>
    <n v="81169"/>
    <n v="21973"/>
    <n v="75521"/>
    <n v="146258"/>
    <n v="145970"/>
    <n v="0.44964621588070219"/>
    <s v="ERROR"/>
  </r>
  <r>
    <x v="2"/>
    <x v="3"/>
    <x v="3"/>
    <n v="240"/>
    <n v="205"/>
    <n v="35"/>
    <n v="198245"/>
    <n v="32408"/>
    <n v="25177"/>
    <n v="46593"/>
    <n v="94006"/>
    <n v="94067"/>
    <n v="0.47449872632348861"/>
    <s v="ERROR"/>
  </r>
  <r>
    <x v="2"/>
    <x v="4"/>
    <x v="0"/>
    <n v="469"/>
    <n v="452"/>
    <n v="17"/>
    <n v="314886"/>
    <n v="86384"/>
    <n v="23439"/>
    <n v="66872"/>
    <n v="137898"/>
    <n v="138191"/>
    <n v="0.4388604129748544"/>
    <s v="ERROR"/>
  </r>
  <r>
    <x v="2"/>
    <x v="4"/>
    <x v="1"/>
    <n v="137"/>
    <n v="132"/>
    <n v="5"/>
    <n v="115041"/>
    <n v="32447"/>
    <n v="16107"/>
    <n v="33162"/>
    <n v="33389"/>
    <n v="33325"/>
    <n v="0.28967933171651844"/>
    <s v="ERROR"/>
  </r>
  <r>
    <x v="2"/>
    <x v="4"/>
    <x v="2"/>
    <n v="190"/>
    <n v="165"/>
    <n v="25"/>
    <n v="69269"/>
    <n v="18536"/>
    <n v="3761"/>
    <n v="17068"/>
    <n v="29905"/>
    <n v="29904"/>
    <n v="0.43170826776768828"/>
    <s v="OK"/>
  </r>
  <r>
    <x v="2"/>
    <x v="4"/>
    <x v="3"/>
    <n v="358"/>
    <n v="342"/>
    <n v="16"/>
    <n v="175672"/>
    <n v="38377"/>
    <n v="20423"/>
    <n v="35509"/>
    <n v="81058"/>
    <n v="81363"/>
    <n v="0.46315292135343139"/>
    <s v="ERROR"/>
  </r>
  <r>
    <x v="2"/>
    <x v="5"/>
    <x v="0"/>
    <n v="454"/>
    <n v="394"/>
    <n v="60"/>
    <n v="131718"/>
    <n v="22857"/>
    <n v="7146"/>
    <n v="41229"/>
    <n v="60966"/>
    <n v="60486"/>
    <n v="0.45920830865940876"/>
    <s v="ERROR"/>
  </r>
  <r>
    <x v="2"/>
    <x v="5"/>
    <x v="1"/>
    <n v="66"/>
    <n v="57"/>
    <n v="9"/>
    <n v="43289"/>
    <n v="7983"/>
    <n v="5119"/>
    <n v="11815"/>
    <n v="18085"/>
    <n v="18372"/>
    <n v="0.42440342812261778"/>
    <s v="ERROR"/>
  </r>
  <r>
    <x v="2"/>
    <x v="5"/>
    <x v="2"/>
    <n v="166"/>
    <n v="153"/>
    <n v="13"/>
    <n v="96945"/>
    <n v="24384"/>
    <n v="8329"/>
    <n v="20347"/>
    <n v="44351"/>
    <n v="43885"/>
    <n v="0.4526793542730414"/>
    <s v="ERROR"/>
  </r>
  <r>
    <x v="2"/>
    <x v="5"/>
    <x v="3"/>
    <n v="62"/>
    <n v="54"/>
    <n v="8"/>
    <n v="34448"/>
    <n v="5701"/>
    <n v="4425"/>
    <n v="11273"/>
    <n v="12657"/>
    <n v="13049"/>
    <n v="0.37880283325592196"/>
    <s v="ERROR"/>
  </r>
  <r>
    <x v="3"/>
    <x v="0"/>
    <x v="0"/>
    <n v="467"/>
    <n v="414"/>
    <n v="53"/>
    <n v="379762"/>
    <n v="110705"/>
    <n v="47419"/>
    <n v="116079"/>
    <n v="105199"/>
    <n v="105559"/>
    <n v="0.27796093342672518"/>
    <s v="ERROR"/>
  </r>
  <r>
    <x v="3"/>
    <x v="0"/>
    <x v="1"/>
    <n v="167"/>
    <n v="154"/>
    <n v="13"/>
    <n v="85256"/>
    <n v="19606"/>
    <n v="10360"/>
    <n v="19601"/>
    <n v="35516"/>
    <n v="35689"/>
    <n v="0.41860983391198275"/>
    <s v="ERROR"/>
  </r>
  <r>
    <x v="3"/>
    <x v="0"/>
    <x v="2"/>
    <n v="157"/>
    <n v="139"/>
    <n v="18"/>
    <n v="148754"/>
    <n v="29163"/>
    <n v="8992"/>
    <n v="49646"/>
    <n v="61193"/>
    <n v="60953"/>
    <n v="0.40975704854995498"/>
    <s v="ERROR"/>
  </r>
  <r>
    <x v="3"/>
    <x v="0"/>
    <x v="3"/>
    <n v="153"/>
    <n v="147"/>
    <n v="6"/>
    <n v="29912"/>
    <n v="6401"/>
    <n v="4116"/>
    <n v="6751"/>
    <n v="12615"/>
    <n v="12644"/>
    <n v="0.42270660604439692"/>
    <s v="ERROR"/>
  </r>
  <r>
    <x v="3"/>
    <x v="1"/>
    <x v="0"/>
    <n v="52"/>
    <n v="46"/>
    <n v="6"/>
    <n v="32468"/>
    <n v="8990"/>
    <n v="2459"/>
    <n v="7682"/>
    <n v="12843"/>
    <n v="13337"/>
    <n v="0.410773684858938"/>
    <s v="ERROR"/>
  </r>
  <r>
    <x v="3"/>
    <x v="1"/>
    <x v="1"/>
    <n v="348"/>
    <n v="342"/>
    <n v="6"/>
    <n v="359399"/>
    <n v="104485"/>
    <n v="34509"/>
    <n v="121040"/>
    <n v="99420"/>
    <n v="99365"/>
    <n v="0.27647544929173423"/>
    <s v="ERROR"/>
  </r>
  <r>
    <x v="3"/>
    <x v="1"/>
    <x v="2"/>
    <n v="235"/>
    <n v="203"/>
    <n v="32"/>
    <n v="215549"/>
    <n v="57183"/>
    <n v="19312"/>
    <n v="66270"/>
    <n v="72744"/>
    <n v="72784"/>
    <n v="0.33766800124333679"/>
    <s v="ERROR"/>
  </r>
  <r>
    <x v="3"/>
    <x v="1"/>
    <x v="3"/>
    <n v="64"/>
    <n v="55"/>
    <n v="9"/>
    <n v="16833"/>
    <n v="3130"/>
    <n v="1402"/>
    <n v="5282"/>
    <n v="6989"/>
    <n v="7019"/>
    <n v="0.41697855403077289"/>
    <s v="ERROR"/>
  </r>
  <r>
    <x v="3"/>
    <x v="2"/>
    <x v="0"/>
    <n v="152"/>
    <n v="137"/>
    <n v="15"/>
    <n v="102681"/>
    <n v="26160"/>
    <n v="10525"/>
    <n v="28591"/>
    <n v="37599"/>
    <n v="37405"/>
    <n v="0.3642835578149804"/>
    <s v="ERROR"/>
  </r>
  <r>
    <x v="3"/>
    <x v="2"/>
    <x v="1"/>
    <n v="216"/>
    <n v="201"/>
    <n v="15"/>
    <n v="104446"/>
    <n v="16496"/>
    <n v="15127"/>
    <n v="29884"/>
    <n v="43219"/>
    <n v="42939"/>
    <n v="0.41111196216226564"/>
    <s v="ERROR"/>
  </r>
  <r>
    <x v="3"/>
    <x v="2"/>
    <x v="2"/>
    <n v="398"/>
    <n v="347"/>
    <n v="51"/>
    <n v="319215"/>
    <n v="57598"/>
    <n v="45484"/>
    <n v="76011"/>
    <n v="140505"/>
    <n v="140122"/>
    <n v="0.43895806901304762"/>
    <s v="ERROR"/>
  </r>
  <r>
    <x v="3"/>
    <x v="2"/>
    <x v="3"/>
    <n v="474"/>
    <n v="417"/>
    <n v="57"/>
    <n v="478187"/>
    <n v="141494"/>
    <n v="56151"/>
    <n v="160579"/>
    <n v="119674"/>
    <n v="119963"/>
    <n v="0.25087047535796664"/>
    <s v="ERROR"/>
  </r>
  <r>
    <x v="3"/>
    <x v="3"/>
    <x v="0"/>
    <n v="342"/>
    <n v="308"/>
    <n v="34"/>
    <n v="344802"/>
    <n v="94972"/>
    <n v="39632"/>
    <n v="94917"/>
    <n v="114938"/>
    <n v="115281"/>
    <n v="0.33433970800633406"/>
    <s v="ERROR"/>
  </r>
  <r>
    <x v="3"/>
    <x v="3"/>
    <x v="1"/>
    <n v="385"/>
    <n v="359"/>
    <n v="26"/>
    <n v="287778"/>
    <n v="68787"/>
    <n v="34203"/>
    <n v="77382"/>
    <n v="106917"/>
    <n v="107406"/>
    <n v="0.37322519442069929"/>
    <s v="ERROR"/>
  </r>
  <r>
    <x v="3"/>
    <x v="3"/>
    <x v="2"/>
    <n v="355"/>
    <n v="339"/>
    <n v="16"/>
    <n v="366479"/>
    <n v="93509"/>
    <n v="43589"/>
    <n v="85007"/>
    <n v="144530"/>
    <n v="144374"/>
    <n v="0.39394890293850399"/>
    <s v="ERROR"/>
  </r>
  <r>
    <x v="3"/>
    <x v="3"/>
    <x v="3"/>
    <n v="199"/>
    <n v="191"/>
    <n v="8"/>
    <n v="61444"/>
    <n v="9604"/>
    <n v="4261"/>
    <n v="20167"/>
    <n v="27341"/>
    <n v="27412"/>
    <n v="0.4461298092572098"/>
    <s v="ERROR"/>
  </r>
  <r>
    <x v="3"/>
    <x v="4"/>
    <x v="0"/>
    <n v="163"/>
    <n v="158"/>
    <n v="5"/>
    <n v="182999"/>
    <n v="33311"/>
    <n v="13278"/>
    <n v="46870"/>
    <n v="89116"/>
    <n v="89540"/>
    <n v="0.48929229121470608"/>
    <s v="ERROR"/>
  </r>
  <r>
    <x v="3"/>
    <x v="4"/>
    <x v="1"/>
    <n v="454"/>
    <n v="393"/>
    <n v="61"/>
    <n v="140320"/>
    <n v="40814"/>
    <n v="12578"/>
    <n v="29541"/>
    <n v="57104"/>
    <n v="57387"/>
    <n v="0.40897234891676171"/>
    <s v="ERROR"/>
  </r>
  <r>
    <x v="3"/>
    <x v="4"/>
    <x v="2"/>
    <n v="206"/>
    <n v="195"/>
    <n v="11"/>
    <n v="138398"/>
    <n v="27517"/>
    <n v="14673"/>
    <n v="45495"/>
    <n v="50832"/>
    <n v="50713"/>
    <n v="0.3664287056171332"/>
    <s v="ERROR"/>
  </r>
  <r>
    <x v="3"/>
    <x v="4"/>
    <x v="3"/>
    <n v="162"/>
    <n v="139"/>
    <n v="23"/>
    <n v="107757"/>
    <n v="19712"/>
    <n v="15167"/>
    <n v="36904"/>
    <n v="35979"/>
    <n v="35974"/>
    <n v="0.3338437410098648"/>
    <s v="ERROR"/>
  </r>
  <r>
    <x v="3"/>
    <x v="5"/>
    <x v="0"/>
    <n v="258"/>
    <n v="251"/>
    <n v="7"/>
    <n v="181597"/>
    <n v="34171"/>
    <n v="10422"/>
    <n v="52223"/>
    <n v="85001"/>
    <n v="84781"/>
    <n v="0.46686343937399849"/>
    <s v="ERROR"/>
  </r>
  <r>
    <x v="3"/>
    <x v="5"/>
    <x v="1"/>
    <n v="246"/>
    <n v="233"/>
    <n v="13"/>
    <n v="265331"/>
    <n v="43654"/>
    <n v="21920"/>
    <n v="83628"/>
    <n v="116345"/>
    <n v="116129"/>
    <n v="0.43767595946195509"/>
    <s v="ERROR"/>
  </r>
  <r>
    <x v="3"/>
    <x v="5"/>
    <x v="2"/>
    <n v="470"/>
    <n v="455"/>
    <n v="15"/>
    <n v="314911"/>
    <n v="59749"/>
    <n v="21908"/>
    <n v="107532"/>
    <n v="126090"/>
    <n v="125722"/>
    <n v="0.39923025870801593"/>
    <s v="ERROR"/>
  </r>
  <r>
    <x v="3"/>
    <x v="5"/>
    <x v="3"/>
    <n v="262"/>
    <n v="254"/>
    <n v="8"/>
    <n v="104818"/>
    <n v="27984"/>
    <n v="7713"/>
    <n v="24756"/>
    <n v="44136"/>
    <n v="44365"/>
    <n v="0.42325745578049573"/>
    <s v="ERROR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TR0001"/>
    <s v="VH021"/>
    <s v="DR008"/>
    <s v="2024-01-24"/>
    <x v="0"/>
    <x v="0"/>
    <n v="16.100000000000001"/>
    <n v="79"/>
    <n v="322.44"/>
    <n v="1"/>
    <n v="322.44"/>
    <s v="Corporate Account"/>
    <n v="2.6"/>
    <n v="3.2"/>
    <s v="No"/>
    <s v="OK"/>
  </r>
  <r>
    <s v="TR0002"/>
    <s v="VH008"/>
    <s v="DR033"/>
    <s v="2024-01-18"/>
    <x v="1"/>
    <x v="1"/>
    <n v="15.9"/>
    <n v="76"/>
    <n v="178.23"/>
    <n v="2"/>
    <n v="356.46"/>
    <s v="UPI"/>
    <n v="3.4"/>
    <n v="4.7"/>
    <s v="No"/>
    <s v="OK"/>
  </r>
  <r>
    <s v="TR0003"/>
    <s v="VH025"/>
    <s v="DR022"/>
    <s v="2024-01-03"/>
    <x v="2"/>
    <x v="2"/>
    <n v="24.6"/>
    <n v="87"/>
    <n v="257.49"/>
    <n v="1.2"/>
    <n v="308.99"/>
    <s v="Corporate Account"/>
    <n v="4.9000000000000004"/>
    <n v="10.1"/>
    <s v="No"/>
    <s v="OK"/>
  </r>
  <r>
    <s v="TR0004"/>
    <s v="VH018"/>
    <s v="DR019"/>
    <s v="2024-03-19"/>
    <x v="1"/>
    <x v="2"/>
    <n v="4.9000000000000004"/>
    <n v="24"/>
    <n v="93.11"/>
    <n v="1"/>
    <n v="93.11"/>
    <s v="Cash"/>
    <n v="3.2"/>
    <n v="16.3"/>
    <s v="No"/>
    <s v="OK"/>
  </r>
  <r>
    <s v="TR0005"/>
    <s v="VH012"/>
    <s v="DR011"/>
    <s v="2024-03-12"/>
    <x v="1"/>
    <x v="3"/>
    <n v="46.2"/>
    <n v="185"/>
    <n v="712.96"/>
    <n v="1.5"/>
    <n v="1069.44"/>
    <s v="UPI"/>
    <n v="3.7"/>
    <n v="7.5"/>
    <s v="No"/>
    <s v="OK"/>
  </r>
  <r>
    <s v="TR0006"/>
    <s v="VH030"/>
    <s v="DR041"/>
    <s v="2024-02-22"/>
    <x v="0"/>
    <x v="2"/>
    <n v="16.399999999999999"/>
    <n v="52"/>
    <n v="225.11"/>
    <n v="1"/>
    <n v="225.11"/>
    <s v="Corporate Account"/>
    <n v="3"/>
    <n v="13"/>
    <s v="No"/>
    <s v="OK"/>
  </r>
  <r>
    <s v="TR0007"/>
    <s v="VH029"/>
    <s v="DR042"/>
    <s v="2024-04-05"/>
    <x v="0"/>
    <x v="0"/>
    <n v="17.5"/>
    <n v="72"/>
    <n v="292.3"/>
    <n v="1.5"/>
    <n v="438.45"/>
    <s v="Wallet"/>
    <n v="3"/>
    <n v="24.9"/>
    <s v="No"/>
    <s v="OK"/>
  </r>
  <r>
    <s v="TR0008"/>
    <s v="VH017"/>
    <s v="DR032"/>
    <s v="2024-01-25"/>
    <x v="3"/>
    <x v="2"/>
    <n v="11.6"/>
    <n v="48"/>
    <n v="211.98"/>
    <n v="1.2"/>
    <n v="254.38"/>
    <s v="Wallet"/>
    <m/>
    <n v="24.9"/>
    <s v="Yes"/>
    <s v="OK"/>
  </r>
  <r>
    <s v="TR0009"/>
    <s v="VH017"/>
    <s v="DR017"/>
    <s v="2024-01-22"/>
    <x v="4"/>
    <x v="2"/>
    <n v="44.9"/>
    <n v="169"/>
    <n v="696.99"/>
    <n v="1"/>
    <n v="696.99"/>
    <s v="Card"/>
    <n v="2.9"/>
    <n v="1.1000000000000001"/>
    <s v="No"/>
    <s v="OK"/>
  </r>
  <r>
    <s v="TR0010"/>
    <s v="VH024"/>
    <s v="DR047"/>
    <s v="2024-03-17"/>
    <x v="1"/>
    <x v="2"/>
    <n v="56.8"/>
    <n v="190"/>
    <n v="850.3"/>
    <n v="1"/>
    <n v="850.3"/>
    <s v="Card"/>
    <n v="3.8"/>
    <n v="19.7"/>
    <s v="No"/>
    <s v="OK"/>
  </r>
  <r>
    <s v="TR0011"/>
    <s v="VH017"/>
    <s v="DR001"/>
    <s v="2024-03-16"/>
    <x v="3"/>
    <x v="2"/>
    <n v="60.5"/>
    <n v="275"/>
    <n v="720.05"/>
    <n v="1"/>
    <n v="720.05"/>
    <s v="UPI"/>
    <m/>
    <n v="23.7"/>
    <s v="Yes"/>
    <s v="OK"/>
  </r>
  <r>
    <s v="TR0012"/>
    <s v="VH003"/>
    <s v="DR047"/>
    <s v="2024-04-27"/>
    <x v="3"/>
    <x v="0"/>
    <n v="10.1"/>
    <n v="48"/>
    <n v="157.57"/>
    <n v="2"/>
    <n v="315.14"/>
    <s v="Corporate Account"/>
    <n v="4.9000000000000004"/>
    <n v="23.3"/>
    <s v="No"/>
    <s v="OK"/>
  </r>
  <r>
    <s v="TR0013"/>
    <s v="VH025"/>
    <s v="DR047"/>
    <s v="2024-02-23"/>
    <x v="0"/>
    <x v="1"/>
    <n v="64.7"/>
    <n v="257"/>
    <n v="902.47"/>
    <n v="1"/>
    <n v="902.47"/>
    <s v="UPI"/>
    <n v="2.7"/>
    <n v="1.5"/>
    <s v="No"/>
    <s v="OK"/>
  </r>
  <r>
    <s v="TR0014"/>
    <s v="VH018"/>
    <s v="DR015"/>
    <s v="2024-02-01"/>
    <x v="3"/>
    <x v="2"/>
    <n v="16.399999999999999"/>
    <n v="89"/>
    <n v="192.82"/>
    <n v="1"/>
    <n v="192.82"/>
    <s v="Card"/>
    <n v="3"/>
    <n v="4.2"/>
    <s v="No"/>
    <s v="OK"/>
  </r>
  <r>
    <s v="TR0015"/>
    <s v="VH030"/>
    <s v="DR037"/>
    <s v="2024-04-08"/>
    <x v="2"/>
    <x v="1"/>
    <n v="14"/>
    <n v="49"/>
    <n v="221.3"/>
    <n v="1.2"/>
    <n v="265.56"/>
    <s v="Cash"/>
    <n v="2.7"/>
    <n v="18.5"/>
    <s v="No"/>
    <s v="OK"/>
  </r>
  <r>
    <s v="TR0016"/>
    <s v="VH026"/>
    <s v="DR007"/>
    <s v="2024-02-07"/>
    <x v="1"/>
    <x v="1"/>
    <n v="10.8"/>
    <n v="43"/>
    <n v="230.84"/>
    <n v="1"/>
    <n v="230.84"/>
    <s v="Wallet"/>
    <m/>
    <n v="3.3"/>
    <s v="Yes"/>
    <s v="OK"/>
  </r>
  <r>
    <s v="TR0017"/>
    <s v="VH021"/>
    <s v="DR035"/>
    <s v="2024-01-03"/>
    <x v="1"/>
    <x v="0"/>
    <n v="27.6"/>
    <n v="114"/>
    <n v="519.87"/>
    <n v="1"/>
    <n v="519.87"/>
    <s v="Wallet"/>
    <n v="5"/>
    <n v="7.4"/>
    <s v="No"/>
    <s v="OK"/>
  </r>
  <r>
    <s v="TR0018"/>
    <s v="VH026"/>
    <s v="DR030"/>
    <s v="2024-03-14"/>
    <x v="4"/>
    <x v="1"/>
    <n v="11.8"/>
    <n v="56"/>
    <n v="212.74"/>
    <n v="1.5"/>
    <n v="319.11"/>
    <s v="Cash"/>
    <n v="2.6"/>
    <n v="15"/>
    <s v="No"/>
    <s v="OK"/>
  </r>
  <r>
    <s v="TR0019"/>
    <s v="VH017"/>
    <s v="DR034"/>
    <s v="2024-02-02"/>
    <x v="5"/>
    <x v="2"/>
    <n v="55.6"/>
    <n v="153"/>
    <n v="973.97"/>
    <n v="1.2"/>
    <n v="1168.76"/>
    <s v="Cash"/>
    <m/>
    <n v="6.9"/>
    <s v="Yes"/>
    <s v="OK"/>
  </r>
  <r>
    <s v="TR0020"/>
    <s v="VH020"/>
    <s v="DR003"/>
    <s v="2024-01-14"/>
    <x v="4"/>
    <x v="3"/>
    <n v="60.9"/>
    <n v="193"/>
    <n v="682.56"/>
    <n v="1.2"/>
    <n v="819.07"/>
    <s v="UPI"/>
    <n v="3.6"/>
    <n v="23.3"/>
    <s v="No"/>
    <s v="OK"/>
  </r>
  <r>
    <s v="TR0021"/>
    <s v="VH030"/>
    <s v="DR005"/>
    <s v="2024-01-15"/>
    <x v="5"/>
    <x v="2"/>
    <n v="6.6"/>
    <n v="28"/>
    <n v="164.4"/>
    <n v="1"/>
    <n v="164.4"/>
    <s v="UPI"/>
    <n v="3.2"/>
    <n v="11.5"/>
    <s v="No"/>
    <s v="OK"/>
  </r>
  <r>
    <s v="TR0022"/>
    <s v="VH018"/>
    <s v="DR046"/>
    <s v="2024-03-20"/>
    <x v="4"/>
    <x v="2"/>
    <n v="44.1"/>
    <n v="178"/>
    <n v="448.48"/>
    <n v="1"/>
    <n v="448.48"/>
    <s v="Card"/>
    <n v="4.7"/>
    <n v="18.8"/>
    <s v="No"/>
    <s v="OK"/>
  </r>
  <r>
    <s v="TR0023"/>
    <s v="VH005"/>
    <s v="DR018"/>
    <s v="2024-03-20"/>
    <x v="1"/>
    <x v="3"/>
    <n v="14.8"/>
    <n v="65"/>
    <n v="240.7"/>
    <n v="2"/>
    <n v="481.4"/>
    <s v="Cash"/>
    <n v="4.0999999999999996"/>
    <n v="20.9"/>
    <s v="No"/>
    <s v="OK"/>
  </r>
  <r>
    <s v="TR0024"/>
    <s v="VH002"/>
    <s v="DR001"/>
    <s v="2024-03-25"/>
    <x v="1"/>
    <x v="3"/>
    <n v="12.2"/>
    <n v="57"/>
    <n v="216.03"/>
    <n v="1"/>
    <n v="216.03"/>
    <s v="Cash"/>
    <n v="3.9"/>
    <n v="21"/>
    <s v="No"/>
    <s v="OK"/>
  </r>
  <r>
    <s v="TR0025"/>
    <s v="VH019"/>
    <s v="DR036"/>
    <s v="2024-02-14"/>
    <x v="1"/>
    <x v="2"/>
    <n v="21.4"/>
    <n v="109"/>
    <n v="405.39"/>
    <n v="1"/>
    <n v="405.39"/>
    <s v="UPI"/>
    <n v="4.2"/>
    <n v="9.5"/>
    <s v="No"/>
    <s v="OK"/>
  </r>
  <r>
    <s v="TR0026"/>
    <s v="VH018"/>
    <s v="DR027"/>
    <s v="2024-02-08"/>
    <x v="1"/>
    <x v="0"/>
    <n v="57.5"/>
    <n v="163"/>
    <n v="701.01"/>
    <n v="1.2"/>
    <n v="841.21"/>
    <s v="UPI"/>
    <n v="2.9"/>
    <n v="17.8"/>
    <s v="No"/>
    <s v="OK"/>
  </r>
  <r>
    <s v="TR0027"/>
    <s v="VH013"/>
    <s v="DR003"/>
    <s v="2024-04-08"/>
    <x v="1"/>
    <x v="1"/>
    <n v="24"/>
    <n v="117"/>
    <n v="295.5"/>
    <n v="1.8"/>
    <n v="531.9"/>
    <s v="UPI"/>
    <n v="3.3"/>
    <n v="21.7"/>
    <s v="No"/>
    <s v="OK"/>
  </r>
  <r>
    <s v="TR0028"/>
    <s v="VH025"/>
    <s v="DR018"/>
    <s v="2024-03-21"/>
    <x v="5"/>
    <x v="1"/>
    <n v="44.8"/>
    <n v="198"/>
    <n v="420.77"/>
    <n v="1"/>
    <n v="420.77"/>
    <s v="UPI"/>
    <m/>
    <n v="24.1"/>
    <s v="Yes"/>
    <s v="OK"/>
  </r>
  <r>
    <s v="TR0029"/>
    <s v="VH009"/>
    <s v="DR003"/>
    <s v="2024-01-20"/>
    <x v="2"/>
    <x v="3"/>
    <n v="47.9"/>
    <n v="164"/>
    <n v="678.17"/>
    <n v="1.2"/>
    <n v="813.8"/>
    <s v="Corporate Account"/>
    <n v="3.1"/>
    <n v="18"/>
    <s v="No"/>
    <s v="OK"/>
  </r>
  <r>
    <s v="TR0030"/>
    <s v="VH001"/>
    <s v="DR034"/>
    <s v="2024-02-12"/>
    <x v="2"/>
    <x v="2"/>
    <n v="61.8"/>
    <n v="283"/>
    <n v="954.37"/>
    <n v="1"/>
    <n v="954.37"/>
    <s v="Card"/>
    <m/>
    <n v="8.4"/>
    <s v="Yes"/>
    <s v="OK"/>
  </r>
  <r>
    <s v="TR0031"/>
    <s v="VH014"/>
    <s v="DR021"/>
    <s v="2024-04-23"/>
    <x v="0"/>
    <x v="0"/>
    <n v="14.1"/>
    <n v="65"/>
    <n v="268.29000000000002"/>
    <n v="1"/>
    <n v="268.29000000000002"/>
    <s v="Corporate Account"/>
    <m/>
    <n v="8.1999999999999993"/>
    <s v="Yes"/>
    <s v="OK"/>
  </r>
  <r>
    <s v="TR0032"/>
    <s v="VH018"/>
    <s v="DR001"/>
    <s v="2024-03-10"/>
    <x v="1"/>
    <x v="1"/>
    <n v="51.5"/>
    <n v="201"/>
    <n v="689.52"/>
    <n v="1.8"/>
    <n v="1241.1400000000001"/>
    <s v="UPI"/>
    <m/>
    <n v="12.4"/>
    <s v="Yes"/>
    <s v="OK"/>
  </r>
  <r>
    <s v="TR0033"/>
    <s v="VH029"/>
    <s v="DR048"/>
    <s v="2024-02-22"/>
    <x v="3"/>
    <x v="3"/>
    <n v="34.5"/>
    <n v="140"/>
    <n v="608.36"/>
    <n v="2"/>
    <n v="1216.72"/>
    <s v="UPI"/>
    <n v="3.1"/>
    <n v="5.8"/>
    <s v="No"/>
    <s v="OK"/>
  </r>
  <r>
    <s v="TR0034"/>
    <s v="VH001"/>
    <s v="DR003"/>
    <s v="2024-02-16"/>
    <x v="5"/>
    <x v="2"/>
    <n v="30.7"/>
    <n v="145"/>
    <n v="516.13"/>
    <n v="1.2"/>
    <n v="619.36"/>
    <s v="Wallet"/>
    <n v="3.1"/>
    <n v="16.7"/>
    <s v="No"/>
    <s v="OK"/>
  </r>
  <r>
    <s v="TR0035"/>
    <s v="VH001"/>
    <s v="DR049"/>
    <s v="2024-01-25"/>
    <x v="2"/>
    <x v="0"/>
    <n v="13.1"/>
    <n v="71"/>
    <n v="161.38"/>
    <n v="1"/>
    <n v="161.38"/>
    <s v="Cash"/>
    <n v="2.8"/>
    <n v="12.2"/>
    <s v="No"/>
    <s v="OK"/>
  </r>
  <r>
    <s v="TR0036"/>
    <s v="VH017"/>
    <s v="DR036"/>
    <s v="2024-03-25"/>
    <x v="2"/>
    <x v="1"/>
    <n v="54.3"/>
    <n v="214"/>
    <n v="888.2"/>
    <n v="1.2"/>
    <n v="1065.8399999999999"/>
    <s v="Wallet"/>
    <n v="4.4000000000000004"/>
    <n v="21.2"/>
    <s v="No"/>
    <s v="OK"/>
  </r>
  <r>
    <s v="TR0037"/>
    <s v="VH009"/>
    <s v="DR050"/>
    <s v="2024-04-21"/>
    <x v="1"/>
    <x v="3"/>
    <n v="29.7"/>
    <n v="125"/>
    <n v="387.35"/>
    <n v="1.5"/>
    <n v="581.03"/>
    <s v="Cash"/>
    <n v="2.9"/>
    <n v="10.199999999999999"/>
    <s v="No"/>
    <s v="OK"/>
  </r>
  <r>
    <s v="TR0038"/>
    <s v="VH005"/>
    <s v="DR046"/>
    <s v="2024-02-03"/>
    <x v="2"/>
    <x v="1"/>
    <n v="22.8"/>
    <n v="84"/>
    <n v="422.3"/>
    <n v="1.2"/>
    <n v="506.76"/>
    <s v="Corporate Account"/>
    <n v="4.5999999999999996"/>
    <n v="19.399999999999999"/>
    <s v="No"/>
    <s v="OK"/>
  </r>
  <r>
    <s v="TR0039"/>
    <s v="VH013"/>
    <s v="DR031"/>
    <s v="2024-01-12"/>
    <x v="0"/>
    <x v="1"/>
    <n v="55.8"/>
    <n v="257"/>
    <n v="913.51"/>
    <n v="1.5"/>
    <n v="1370.26"/>
    <s v="Corporate Account"/>
    <n v="3.7"/>
    <n v="7.6"/>
    <s v="No"/>
    <s v="OK"/>
  </r>
  <r>
    <s v="TR0040"/>
    <s v="VH016"/>
    <s v="DR002"/>
    <s v="2024-04-11"/>
    <x v="4"/>
    <x v="1"/>
    <n v="47.6"/>
    <n v="218"/>
    <n v="897.62"/>
    <n v="1.5"/>
    <n v="1346.43"/>
    <s v="Cash"/>
    <n v="4"/>
    <n v="16.899999999999999"/>
    <s v="No"/>
    <s v="OK"/>
  </r>
  <r>
    <s v="TR0041"/>
    <s v="VH003"/>
    <s v="DR042"/>
    <s v="2024-04-05"/>
    <x v="2"/>
    <x v="0"/>
    <n v="5.2"/>
    <n v="25"/>
    <n v="108.6"/>
    <n v="2"/>
    <n v="217.2"/>
    <s v="Wallet"/>
    <n v="4.4000000000000004"/>
    <n v="21"/>
    <s v="No"/>
    <s v="OK"/>
  </r>
  <r>
    <s v="TR0042"/>
    <s v="VH009"/>
    <s v="DR006"/>
    <s v="2024-04-01"/>
    <x v="4"/>
    <x v="2"/>
    <n v="65"/>
    <n v="223"/>
    <n v="1077.8"/>
    <n v="1.8"/>
    <n v="1940.04"/>
    <s v="Cash"/>
    <n v="4.9000000000000004"/>
    <n v="5.8"/>
    <s v="No"/>
    <s v="OK"/>
  </r>
  <r>
    <s v="TR0043"/>
    <s v="VH001"/>
    <s v="DR040"/>
    <s v="2024-02-08"/>
    <x v="1"/>
    <x v="1"/>
    <n v="44.2"/>
    <n v="169"/>
    <n v="712.76"/>
    <n v="2"/>
    <n v="1425.52"/>
    <s v="Card"/>
    <n v="4"/>
    <n v="24.1"/>
    <s v="No"/>
    <s v="OK"/>
  </r>
  <r>
    <s v="TR0044"/>
    <s v="VH023"/>
    <s v="DR008"/>
    <s v="2024-02-10"/>
    <x v="3"/>
    <x v="2"/>
    <n v="60.5"/>
    <n v="240"/>
    <n v="761.06"/>
    <n v="1.8"/>
    <n v="1369.91"/>
    <s v="UPI"/>
    <n v="4"/>
    <n v="20.9"/>
    <s v="No"/>
    <s v="OK"/>
  </r>
  <r>
    <s v="TR0045"/>
    <s v="VH008"/>
    <s v="DR007"/>
    <s v="2024-03-28"/>
    <x v="4"/>
    <x v="2"/>
    <n v="52.2"/>
    <n v="195"/>
    <n v="745.69"/>
    <n v="1.8"/>
    <n v="1342.24"/>
    <s v="Card"/>
    <n v="3.8"/>
    <n v="9.1999999999999993"/>
    <s v="No"/>
    <s v="OK"/>
  </r>
  <r>
    <s v="TR0046"/>
    <s v="VH028"/>
    <s v="DR027"/>
    <s v="2024-04-04"/>
    <x v="2"/>
    <x v="3"/>
    <n v="42"/>
    <n v="190"/>
    <n v="568.9"/>
    <n v="1.8"/>
    <n v="1024.02"/>
    <s v="Corporate Account"/>
    <n v="4"/>
    <n v="23.1"/>
    <s v="No"/>
    <s v="OK"/>
  </r>
  <r>
    <s v="TR0047"/>
    <s v="VH025"/>
    <s v="DR031"/>
    <s v="2024-04-14"/>
    <x v="4"/>
    <x v="3"/>
    <n v="22.3"/>
    <n v="86"/>
    <n v="290.60000000000002"/>
    <n v="1.2"/>
    <n v="348.72"/>
    <s v="UPI"/>
    <n v="3.9"/>
    <n v="17"/>
    <s v="No"/>
    <s v="OK"/>
  </r>
  <r>
    <s v="TR0048"/>
    <s v="VH011"/>
    <s v="DR002"/>
    <s v="2024-04-28"/>
    <x v="0"/>
    <x v="0"/>
    <n v="32.700000000000003"/>
    <n v="114"/>
    <n v="403.05"/>
    <n v="1.5"/>
    <n v="604.58000000000004"/>
    <s v="Card"/>
    <m/>
    <n v="1.2"/>
    <s v="Yes"/>
    <s v="OK"/>
  </r>
  <r>
    <s v="TR0049"/>
    <s v="VH007"/>
    <s v="DR006"/>
    <s v="2024-02-24"/>
    <x v="2"/>
    <x v="1"/>
    <n v="37"/>
    <n v="122"/>
    <n v="609.38"/>
    <n v="1.2"/>
    <n v="731.26"/>
    <s v="Cash"/>
    <n v="3.2"/>
    <n v="10.7"/>
    <s v="No"/>
    <s v="OK"/>
  </r>
  <r>
    <s v="TR0050"/>
    <s v="VH008"/>
    <s v="DR020"/>
    <s v="2024-03-16"/>
    <x v="5"/>
    <x v="3"/>
    <n v="28.8"/>
    <n v="125"/>
    <n v="482.82"/>
    <n v="1"/>
    <n v="482.82"/>
    <s v="Card"/>
    <n v="3.1"/>
    <n v="18.3"/>
    <s v="No"/>
    <s v="OK"/>
  </r>
  <r>
    <s v="TR0051"/>
    <s v="VH011"/>
    <s v="DR008"/>
    <s v="2024-02-07"/>
    <x v="1"/>
    <x v="1"/>
    <n v="19.399999999999999"/>
    <n v="88"/>
    <n v="320.98"/>
    <n v="1"/>
    <n v="320.98"/>
    <s v="UPI"/>
    <n v="3.1"/>
    <n v="5.3"/>
    <s v="No"/>
    <s v="OK"/>
  </r>
  <r>
    <s v="TR0052"/>
    <s v="VH001"/>
    <s v="DR046"/>
    <s v="2024-02-09"/>
    <x v="3"/>
    <x v="2"/>
    <n v="36.9"/>
    <n v="151"/>
    <n v="665.66"/>
    <n v="1.2"/>
    <n v="798.79"/>
    <s v="Cash"/>
    <n v="3.9"/>
    <n v="12.3"/>
    <s v="No"/>
    <s v="OK"/>
  </r>
  <r>
    <s v="TR0053"/>
    <s v="VH015"/>
    <s v="DR022"/>
    <s v="2024-02-02"/>
    <x v="0"/>
    <x v="1"/>
    <n v="9.1999999999999993"/>
    <n v="37"/>
    <n v="176.69"/>
    <n v="1.8"/>
    <n v="318.04000000000002"/>
    <s v="Cash"/>
    <n v="2.9"/>
    <n v="14.5"/>
    <s v="No"/>
    <s v="OK"/>
  </r>
  <r>
    <s v="TR0054"/>
    <s v="VH010"/>
    <s v="DR006"/>
    <s v="2024-02-04"/>
    <x v="5"/>
    <x v="1"/>
    <n v="40.200000000000003"/>
    <n v="172"/>
    <n v="581.66999999999996"/>
    <n v="1.2"/>
    <n v="698"/>
    <s v="Wallet"/>
    <n v="4.7"/>
    <n v="24.8"/>
    <s v="No"/>
    <s v="OK"/>
  </r>
  <r>
    <s v="TR0055"/>
    <s v="VH010"/>
    <s v="DR037"/>
    <s v="2024-01-20"/>
    <x v="4"/>
    <x v="2"/>
    <n v="61.7"/>
    <n v="188"/>
    <n v="951.08"/>
    <n v="1"/>
    <n v="951.08"/>
    <s v="UPI"/>
    <n v="3.9"/>
    <n v="4.8"/>
    <s v="No"/>
    <s v="OK"/>
  </r>
  <r>
    <s v="TR0056"/>
    <s v="VH014"/>
    <s v="DR029"/>
    <s v="2024-04-10"/>
    <x v="3"/>
    <x v="0"/>
    <n v="20.2"/>
    <n v="80"/>
    <n v="225.98"/>
    <n v="1"/>
    <n v="225.98"/>
    <s v="Card"/>
    <m/>
    <n v="16.899999999999999"/>
    <s v="Yes"/>
    <s v="OK"/>
  </r>
  <r>
    <s v="TR0057"/>
    <s v="VH030"/>
    <s v="DR013"/>
    <s v="2024-04-04"/>
    <x v="5"/>
    <x v="0"/>
    <n v="42.8"/>
    <n v="202"/>
    <n v="422.96"/>
    <n v="1"/>
    <n v="422.96"/>
    <s v="Card"/>
    <m/>
    <n v="19"/>
    <s v="Yes"/>
    <s v="OK"/>
  </r>
  <r>
    <s v="TR0058"/>
    <s v="VH019"/>
    <s v="DR019"/>
    <s v="2024-04-04"/>
    <x v="2"/>
    <x v="3"/>
    <n v="46.1"/>
    <n v="215"/>
    <n v="646.44000000000005"/>
    <n v="1"/>
    <n v="646.44000000000005"/>
    <s v="Corporate Account"/>
    <n v="4.7"/>
    <n v="18.600000000000001"/>
    <s v="No"/>
    <s v="OK"/>
  </r>
  <r>
    <s v="TR0059"/>
    <s v="VH020"/>
    <s v="DR017"/>
    <s v="2024-01-03"/>
    <x v="1"/>
    <x v="2"/>
    <n v="65"/>
    <n v="259"/>
    <n v="596.15"/>
    <n v="2"/>
    <n v="1192.3"/>
    <s v="UPI"/>
    <n v="3.8"/>
    <n v="11.6"/>
    <s v="No"/>
    <s v="OK"/>
  </r>
  <r>
    <s v="TR0060"/>
    <s v="VH009"/>
    <s v="DR012"/>
    <s v="2024-04-21"/>
    <x v="2"/>
    <x v="2"/>
    <n v="31.6"/>
    <n v="115"/>
    <n v="335.85"/>
    <n v="1"/>
    <n v="335.85"/>
    <s v="Card"/>
    <n v="4.2"/>
    <n v="7.9"/>
    <s v="No"/>
    <s v="OK"/>
  </r>
  <r>
    <s v="TR0061"/>
    <s v="VH013"/>
    <s v="DR049"/>
    <s v="2024-01-15"/>
    <x v="3"/>
    <x v="3"/>
    <n v="17.899999999999999"/>
    <n v="65"/>
    <n v="348.02"/>
    <n v="2"/>
    <n v="696.04"/>
    <s v="Cash"/>
    <m/>
    <n v="12.1"/>
    <s v="Yes"/>
    <s v="OK"/>
  </r>
  <r>
    <s v="TR0062"/>
    <s v="VH002"/>
    <s v="DR013"/>
    <s v="2024-03-20"/>
    <x v="2"/>
    <x v="1"/>
    <n v="49.9"/>
    <n v="158"/>
    <n v="912.11"/>
    <n v="1.2"/>
    <n v="1094.53"/>
    <s v="Wallet"/>
    <n v="2.6"/>
    <n v="16.100000000000001"/>
    <s v="No"/>
    <s v="OK"/>
  </r>
  <r>
    <s v="TR0063"/>
    <s v="VH026"/>
    <s v="DR016"/>
    <s v="2024-02-10"/>
    <x v="5"/>
    <x v="2"/>
    <n v="36.799999999999997"/>
    <n v="119"/>
    <n v="680.36"/>
    <n v="1.2"/>
    <n v="816.43"/>
    <s v="Cash"/>
    <n v="3.7"/>
    <n v="18.2"/>
    <s v="No"/>
    <s v="OK"/>
  </r>
  <r>
    <s v="TR0064"/>
    <s v="VH017"/>
    <s v="DR046"/>
    <s v="2024-03-14"/>
    <x v="2"/>
    <x v="1"/>
    <n v="17.399999999999999"/>
    <n v="73"/>
    <n v="349.61"/>
    <n v="1.5"/>
    <n v="524.41"/>
    <s v="UPI"/>
    <n v="3.2"/>
    <n v="20"/>
    <s v="No"/>
    <s v="OK"/>
  </r>
  <r>
    <s v="TR0065"/>
    <s v="VH014"/>
    <s v="DR022"/>
    <s v="2024-03-27"/>
    <x v="3"/>
    <x v="3"/>
    <n v="47.7"/>
    <n v="213"/>
    <n v="746.39"/>
    <n v="2"/>
    <n v="1492.78"/>
    <s v="UPI"/>
    <n v="3.8"/>
    <n v="9.3000000000000007"/>
    <s v="No"/>
    <s v="OK"/>
  </r>
  <r>
    <s v="TR0066"/>
    <s v="VH018"/>
    <s v="DR049"/>
    <s v="2024-04-15"/>
    <x v="0"/>
    <x v="0"/>
    <n v="63.8"/>
    <n v="201"/>
    <n v="1106.54"/>
    <n v="1.2"/>
    <n v="1327.85"/>
    <s v="Cash"/>
    <n v="4.4000000000000004"/>
    <n v="17.899999999999999"/>
    <s v="No"/>
    <s v="OK"/>
  </r>
  <r>
    <s v="TR0067"/>
    <s v="VH026"/>
    <s v="DR025"/>
    <s v="2024-04-22"/>
    <x v="4"/>
    <x v="0"/>
    <n v="33.200000000000003"/>
    <n v="98"/>
    <n v="511.54"/>
    <n v="2"/>
    <n v="1023.08"/>
    <s v="Cash"/>
    <n v="2.7"/>
    <n v="22.9"/>
    <s v="No"/>
    <s v="OK"/>
  </r>
  <r>
    <s v="TR0068"/>
    <s v="VH001"/>
    <s v="DR047"/>
    <s v="2024-02-14"/>
    <x v="4"/>
    <x v="0"/>
    <n v="6.7"/>
    <n v="36"/>
    <n v="145.36000000000001"/>
    <n v="1.2"/>
    <n v="174.43"/>
    <s v="Cash"/>
    <n v="4.5999999999999996"/>
    <n v="21.6"/>
    <s v="No"/>
    <s v="OK"/>
  </r>
  <r>
    <s v="TR0069"/>
    <s v="VH013"/>
    <s v="DR021"/>
    <s v="2024-04-28"/>
    <x v="5"/>
    <x v="2"/>
    <n v="40.9"/>
    <n v="137"/>
    <n v="494.74"/>
    <n v="1"/>
    <n v="494.74"/>
    <s v="Cash"/>
    <n v="4.9000000000000004"/>
    <n v="19.2"/>
    <s v="No"/>
    <s v="OK"/>
  </r>
  <r>
    <s v="TR0070"/>
    <s v="VH023"/>
    <s v="DR007"/>
    <s v="2024-04-06"/>
    <x v="4"/>
    <x v="3"/>
    <n v="58.9"/>
    <n v="170"/>
    <n v="693.99"/>
    <n v="1"/>
    <n v="693.99"/>
    <s v="Wallet"/>
    <n v="3.1"/>
    <n v="10.9"/>
    <s v="No"/>
    <s v="OK"/>
  </r>
  <r>
    <s v="TR0071"/>
    <s v="VH022"/>
    <s v="DR012"/>
    <s v="2024-02-06"/>
    <x v="3"/>
    <x v="1"/>
    <n v="41"/>
    <n v="141"/>
    <n v="436.68"/>
    <n v="1.2"/>
    <n v="524.02"/>
    <s v="Card"/>
    <n v="3.1"/>
    <n v="1.2"/>
    <s v="No"/>
    <s v="OK"/>
  </r>
  <r>
    <s v="TR0072"/>
    <s v="VH026"/>
    <s v="DR030"/>
    <s v="2024-03-22"/>
    <x v="5"/>
    <x v="0"/>
    <n v="6.7"/>
    <n v="49"/>
    <n v="123.64"/>
    <n v="1.2"/>
    <n v="148.37"/>
    <s v="Card"/>
    <n v="4.5999999999999996"/>
    <n v="5.8"/>
    <s v="No"/>
    <s v="OK"/>
  </r>
  <r>
    <s v="TR0073"/>
    <s v="VH013"/>
    <s v="DR031"/>
    <s v="2024-01-08"/>
    <x v="2"/>
    <x v="3"/>
    <n v="38.200000000000003"/>
    <n v="181"/>
    <n v="729.17"/>
    <n v="1.8"/>
    <n v="1312.51"/>
    <s v="Wallet"/>
    <n v="2.5"/>
    <n v="21.8"/>
    <s v="No"/>
    <s v="OK"/>
  </r>
  <r>
    <s v="TR0074"/>
    <s v="VH025"/>
    <s v="DR048"/>
    <s v="2024-01-20"/>
    <x v="4"/>
    <x v="1"/>
    <n v="54.5"/>
    <n v="251"/>
    <n v="611.41"/>
    <n v="2"/>
    <n v="1222.82"/>
    <s v="Card"/>
    <n v="4.0999999999999996"/>
    <n v="15.9"/>
    <s v="No"/>
    <s v="OK"/>
  </r>
  <r>
    <s v="TR0075"/>
    <s v="VH022"/>
    <s v="DR049"/>
    <s v="2024-02-21"/>
    <x v="3"/>
    <x v="2"/>
    <n v="21.5"/>
    <n v="86"/>
    <n v="379.46"/>
    <n v="1"/>
    <n v="379.46"/>
    <s v="Card"/>
    <n v="4.4000000000000004"/>
    <n v="5.2"/>
    <s v="No"/>
    <s v="OK"/>
  </r>
  <r>
    <s v="TR0076"/>
    <s v="VH005"/>
    <s v="DR035"/>
    <s v="2024-03-17"/>
    <x v="5"/>
    <x v="3"/>
    <n v="54.3"/>
    <n v="181"/>
    <n v="746.04"/>
    <n v="2"/>
    <n v="1492.08"/>
    <s v="Card"/>
    <n v="4.5"/>
    <n v="12.2"/>
    <s v="No"/>
    <s v="OK"/>
  </r>
  <r>
    <s v="TR0077"/>
    <s v="VH003"/>
    <s v="DR010"/>
    <s v="2024-02-28"/>
    <x v="4"/>
    <x v="1"/>
    <n v="62.9"/>
    <n v="269"/>
    <n v="1050.54"/>
    <n v="1"/>
    <n v="1050.54"/>
    <s v="Card"/>
    <m/>
    <n v="4"/>
    <s v="Yes"/>
    <s v="OK"/>
  </r>
  <r>
    <s v="TR0078"/>
    <s v="VH012"/>
    <s v="DR044"/>
    <s v="2024-03-19"/>
    <x v="2"/>
    <x v="3"/>
    <n v="8.8000000000000007"/>
    <n v="31"/>
    <n v="198.21"/>
    <n v="1.5"/>
    <n v="297.31"/>
    <s v="Card"/>
    <m/>
    <n v="6.3"/>
    <s v="Yes"/>
    <s v="OK"/>
  </r>
  <r>
    <s v="TR0079"/>
    <s v="VH003"/>
    <s v="DR041"/>
    <s v="2024-04-23"/>
    <x v="0"/>
    <x v="1"/>
    <n v="9.4"/>
    <n v="30"/>
    <n v="218.82"/>
    <n v="1"/>
    <n v="218.82"/>
    <s v="Cash"/>
    <n v="4.7"/>
    <n v="4.3"/>
    <s v="No"/>
    <s v="OK"/>
  </r>
  <r>
    <s v="TR0080"/>
    <s v="VH015"/>
    <s v="DR024"/>
    <s v="2024-04-19"/>
    <x v="4"/>
    <x v="0"/>
    <n v="57.8"/>
    <n v="238"/>
    <n v="868.25"/>
    <n v="1"/>
    <n v="868.25"/>
    <s v="Cash"/>
    <n v="3"/>
    <n v="11.7"/>
    <s v="No"/>
    <s v="OK"/>
  </r>
  <r>
    <s v="TR0081"/>
    <s v="VH008"/>
    <s v="DR024"/>
    <s v="2024-01-22"/>
    <x v="0"/>
    <x v="3"/>
    <n v="5.8"/>
    <n v="37"/>
    <n v="151.44"/>
    <n v="2"/>
    <n v="302.88"/>
    <s v="Wallet"/>
    <n v="4.2"/>
    <n v="16.399999999999999"/>
    <s v="No"/>
    <s v="OK"/>
  </r>
  <r>
    <s v="TR0082"/>
    <s v="VH020"/>
    <s v="DR002"/>
    <s v="2024-01-26"/>
    <x v="0"/>
    <x v="0"/>
    <n v="64.3"/>
    <n v="270"/>
    <n v="1097.97"/>
    <n v="1.5"/>
    <n v="1646.95"/>
    <s v="UPI"/>
    <m/>
    <n v="6.2"/>
    <s v="Yes"/>
    <s v="OK"/>
  </r>
  <r>
    <s v="TR0083"/>
    <s v="VH028"/>
    <s v="DR015"/>
    <s v="2024-03-25"/>
    <x v="1"/>
    <x v="2"/>
    <n v="19.5"/>
    <n v="107"/>
    <n v="311.33999999999997"/>
    <n v="2"/>
    <n v="622.67999999999995"/>
    <s v="UPI"/>
    <n v="4.2"/>
    <n v="1.6"/>
    <s v="No"/>
    <s v="OK"/>
  </r>
  <r>
    <s v="TR0084"/>
    <s v="VH001"/>
    <s v="DR023"/>
    <s v="2024-02-19"/>
    <x v="0"/>
    <x v="2"/>
    <n v="13"/>
    <n v="50"/>
    <n v="222.39"/>
    <n v="1.8"/>
    <n v="400.3"/>
    <s v="Cash"/>
    <n v="3.6"/>
    <n v="9.6999999999999993"/>
    <s v="No"/>
    <s v="OK"/>
  </r>
  <r>
    <s v="TR0085"/>
    <s v="VH019"/>
    <s v="DR007"/>
    <s v="2024-04-17"/>
    <x v="1"/>
    <x v="2"/>
    <n v="47.8"/>
    <n v="221"/>
    <n v="576.58000000000004"/>
    <n v="1.8"/>
    <n v="1037.8399999999999"/>
    <s v="Cash"/>
    <n v="5"/>
    <n v="21.3"/>
    <s v="No"/>
    <s v="OK"/>
  </r>
  <r>
    <s v="TR0086"/>
    <s v="VH014"/>
    <s v="DR044"/>
    <s v="2024-01-16"/>
    <x v="4"/>
    <x v="1"/>
    <n v="6.6"/>
    <n v="32"/>
    <n v="107.14"/>
    <n v="1"/>
    <n v="107.14"/>
    <s v="Corporate Account"/>
    <m/>
    <n v="14.2"/>
    <s v="Yes"/>
    <s v="OK"/>
  </r>
  <r>
    <s v="TR0087"/>
    <s v="VH011"/>
    <s v="DR025"/>
    <s v="2024-03-15"/>
    <x v="5"/>
    <x v="1"/>
    <n v="8.1999999999999993"/>
    <n v="50"/>
    <n v="168.98"/>
    <n v="2"/>
    <n v="337.96"/>
    <s v="Corporate Account"/>
    <n v="3.6"/>
    <n v="22.3"/>
    <s v="No"/>
    <s v="OK"/>
  </r>
  <r>
    <s v="TR0088"/>
    <s v="VH014"/>
    <s v="DR022"/>
    <s v="2024-04-13"/>
    <x v="2"/>
    <x v="2"/>
    <n v="21.7"/>
    <n v="77"/>
    <n v="430.53"/>
    <n v="1.8"/>
    <n v="774.95"/>
    <s v="Wallet"/>
    <n v="2.7"/>
    <n v="3"/>
    <s v="No"/>
    <s v="OK"/>
  </r>
  <r>
    <s v="TR0089"/>
    <s v="VH014"/>
    <s v="DR007"/>
    <s v="2024-03-26"/>
    <x v="1"/>
    <x v="2"/>
    <n v="38.9"/>
    <n v="151"/>
    <n v="408.75"/>
    <n v="1"/>
    <n v="408.75"/>
    <s v="Wallet"/>
    <n v="4.9000000000000004"/>
    <n v="15.4"/>
    <s v="No"/>
    <s v="OK"/>
  </r>
  <r>
    <s v="TR0090"/>
    <s v="VH012"/>
    <s v="DR007"/>
    <s v="2024-02-05"/>
    <x v="4"/>
    <x v="1"/>
    <n v="16.100000000000001"/>
    <n v="61"/>
    <n v="237.98"/>
    <n v="2"/>
    <n v="475.96"/>
    <s v="Card"/>
    <m/>
    <n v="6.4"/>
    <s v="Yes"/>
    <s v="OK"/>
  </r>
  <r>
    <s v="TR0091"/>
    <s v="VH014"/>
    <s v="DR036"/>
    <s v="2024-01-20"/>
    <x v="4"/>
    <x v="3"/>
    <n v="3.8"/>
    <n v="28"/>
    <n v="115.42"/>
    <n v="1"/>
    <n v="115.42"/>
    <s v="Cash"/>
    <n v="4.7"/>
    <n v="14.6"/>
    <s v="No"/>
    <s v="OK"/>
  </r>
  <r>
    <s v="TR0092"/>
    <s v="VH013"/>
    <s v="DR005"/>
    <s v="2024-02-24"/>
    <x v="4"/>
    <x v="2"/>
    <n v="7.8"/>
    <n v="38"/>
    <n v="147.78"/>
    <n v="1"/>
    <n v="147.78"/>
    <s v="Card"/>
    <n v="4.3"/>
    <n v="19.600000000000001"/>
    <s v="No"/>
    <s v="OK"/>
  </r>
  <r>
    <s v="TR0093"/>
    <s v="VH019"/>
    <s v="DR039"/>
    <s v="2024-01-02"/>
    <x v="1"/>
    <x v="0"/>
    <n v="49.5"/>
    <n v="135"/>
    <n v="665.34"/>
    <n v="1.2"/>
    <n v="798.41"/>
    <s v="Wallet"/>
    <m/>
    <n v="11.6"/>
    <s v="Yes"/>
    <s v="OK"/>
  </r>
  <r>
    <s v="TR0094"/>
    <s v="VH009"/>
    <s v="DR014"/>
    <s v="2024-01-12"/>
    <x v="2"/>
    <x v="2"/>
    <n v="19.8"/>
    <n v="89"/>
    <n v="340.49"/>
    <n v="1"/>
    <n v="340.49"/>
    <s v="UPI"/>
    <n v="5"/>
    <n v="2.2999999999999998"/>
    <s v="No"/>
    <s v="OK"/>
  </r>
  <r>
    <s v="TR0095"/>
    <s v="VH007"/>
    <s v="DR020"/>
    <s v="2024-02-25"/>
    <x v="1"/>
    <x v="3"/>
    <n v="20.2"/>
    <n v="68"/>
    <n v="298.58999999999997"/>
    <n v="1"/>
    <n v="298.58999999999997"/>
    <s v="Wallet"/>
    <m/>
    <n v="17.899999999999999"/>
    <s v="Yes"/>
    <s v="OK"/>
  </r>
  <r>
    <s v="TR0096"/>
    <s v="VH017"/>
    <s v="DR036"/>
    <s v="2024-03-03"/>
    <x v="2"/>
    <x v="2"/>
    <n v="29.5"/>
    <n v="107"/>
    <n v="378.35"/>
    <n v="1.2"/>
    <n v="454.02"/>
    <s v="Corporate Account"/>
    <n v="4.3"/>
    <n v="11"/>
    <s v="No"/>
    <s v="OK"/>
  </r>
  <r>
    <s v="TR0097"/>
    <s v="VH004"/>
    <s v="DR026"/>
    <s v="2024-01-11"/>
    <x v="1"/>
    <x v="1"/>
    <n v="54.4"/>
    <n v="242"/>
    <n v="944.6"/>
    <n v="1"/>
    <n v="944.6"/>
    <s v="Wallet"/>
    <m/>
    <n v="10.6"/>
    <s v="Yes"/>
    <s v="OK"/>
  </r>
  <r>
    <s v="TR0098"/>
    <s v="VH003"/>
    <s v="DR026"/>
    <s v="2024-03-24"/>
    <x v="0"/>
    <x v="0"/>
    <n v="23"/>
    <n v="78"/>
    <n v="260.23"/>
    <n v="1.5"/>
    <n v="390.35"/>
    <s v="UPI"/>
    <n v="3.4"/>
    <n v="24"/>
    <s v="No"/>
    <s v="OK"/>
  </r>
  <r>
    <s v="TR0099"/>
    <s v="VH021"/>
    <s v="DR010"/>
    <s v="2024-02-04"/>
    <x v="1"/>
    <x v="3"/>
    <n v="14.4"/>
    <n v="70"/>
    <n v="259.58999999999997"/>
    <n v="1"/>
    <n v="259.58999999999997"/>
    <s v="Wallet"/>
    <n v="4.4000000000000004"/>
    <n v="19.2"/>
    <s v="No"/>
    <s v="OK"/>
  </r>
  <r>
    <s v="TR0100"/>
    <s v="VH015"/>
    <s v="DR044"/>
    <s v="2024-03-28"/>
    <x v="4"/>
    <x v="3"/>
    <n v="11.5"/>
    <n v="42"/>
    <n v="176.82"/>
    <n v="1"/>
    <n v="176.82"/>
    <s v="Corporate Account"/>
    <n v="3.4"/>
    <n v="2.8"/>
    <s v="No"/>
    <s v="OK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MN0001"/>
    <s v="VH026"/>
    <x v="0"/>
    <x v="0"/>
    <s v="2024-03-07"/>
    <n v="11202"/>
    <n v="3"/>
    <s v="QuickServ Auto"/>
    <s v="Wiper Blades"/>
    <s v="2024-08-05"/>
    <s v="Low"/>
  </r>
  <r>
    <s v="MN0002"/>
    <s v="VH028"/>
    <x v="1"/>
    <x v="0"/>
    <s v="2024-01-27"/>
    <n v="43094"/>
    <n v="5"/>
    <s v="FleetFix Solutions"/>
    <s v="Coolant"/>
    <s v="2024-11-06"/>
    <s v="High"/>
  </r>
  <r>
    <s v="MN0003"/>
    <s v="VH011"/>
    <x v="2"/>
    <x v="1"/>
    <s v="2024-01-18"/>
    <n v="35153"/>
    <n v="15"/>
    <s v="FleetFix Solutions"/>
    <s v="Spark Plugs"/>
    <s v="2024-08-03"/>
    <s v="Low"/>
  </r>
  <r>
    <s v="MN0004"/>
    <s v="VH028"/>
    <x v="1"/>
    <x v="2"/>
    <s v="2024-04-20"/>
    <n v="31840"/>
    <n v="2"/>
    <s v="AutoCare Pro"/>
    <s v="Spark Plugs"/>
    <s v="2024-10-28"/>
    <s v="Low"/>
  </r>
  <r>
    <s v="MN0005"/>
    <s v="VH004"/>
    <x v="3"/>
    <x v="3"/>
    <s v="2024-04-27"/>
    <n v="4030"/>
    <n v="3"/>
    <s v="QuickServ Auto"/>
    <s v="Wiper Blades"/>
    <s v="2024-06-12"/>
    <s v="Low"/>
  </r>
  <r>
    <s v="MN0006"/>
    <s v="VH027"/>
    <x v="4"/>
    <x v="4"/>
    <s v="2024-02-08"/>
    <n v="25984"/>
    <n v="12"/>
    <s v="SpeedyRepair"/>
    <s v="Air Filter"/>
    <s v="2024-11-01"/>
    <s v="Low"/>
  </r>
  <r>
    <s v="MN0007"/>
    <s v="VH002"/>
    <x v="2"/>
    <x v="5"/>
    <s v="2024-01-24"/>
    <n v="16433"/>
    <n v="13"/>
    <s v="AutoCare Pro"/>
    <s v="Battery"/>
    <s v="2024-12-02"/>
    <s v="Critical"/>
  </r>
  <r>
    <s v="MN0008"/>
    <s v="VH027"/>
    <x v="4"/>
    <x v="1"/>
    <s v="2024-02-10"/>
    <n v="24137"/>
    <n v="0"/>
    <s v="MechMaster"/>
    <s v="Tires (Set of 4)"/>
    <s v="2024-11-19"/>
    <s v="Low"/>
  </r>
  <r>
    <s v="MN0009"/>
    <s v="VH002"/>
    <x v="2"/>
    <x v="5"/>
    <s v="2024-02-25"/>
    <n v="37376"/>
    <n v="0"/>
    <s v="SpeedyRepair"/>
    <s v="Oil Filter"/>
    <s v="2024-08-03"/>
    <s v="Critical"/>
  </r>
  <r>
    <s v="MN0010"/>
    <s v="VH004"/>
    <x v="3"/>
    <x v="4"/>
    <s v="2024-04-04"/>
    <n v="39827"/>
    <n v="4"/>
    <s v="FleetFix Solutions"/>
    <s v="Battery"/>
    <s v="2024-08-25"/>
    <s v="Low"/>
  </r>
  <r>
    <s v="MN0011"/>
    <s v="VH006"/>
    <x v="5"/>
    <x v="6"/>
    <s v="2024-02-01"/>
    <n v="2748"/>
    <n v="7"/>
    <s v="SpeedyRepair"/>
    <s v="Coolant"/>
    <s v="2024-11-19"/>
    <s v="Critical"/>
  </r>
  <r>
    <s v="MN0012"/>
    <s v="VH016"/>
    <x v="3"/>
    <x v="7"/>
    <s v="2024-03-20"/>
    <n v="37845"/>
    <n v="3"/>
    <s v="MechMaster"/>
    <s v="Belt Assembly"/>
    <s v="2024-11-10"/>
    <s v="High"/>
  </r>
  <r>
    <s v="MN0013"/>
    <s v="VH010"/>
    <x v="6"/>
    <x v="5"/>
    <s v="2024-02-01"/>
    <n v="26837"/>
    <n v="2"/>
    <s v="AutoCare Pro"/>
    <s v="Oil Filter"/>
    <s v="2024-07-01"/>
    <s v="Low"/>
  </r>
  <r>
    <s v="MN0014"/>
    <s v="VH022"/>
    <x v="1"/>
    <x v="1"/>
    <s v="2024-02-22"/>
    <n v="4197"/>
    <n v="13"/>
    <s v="FleetFix Solutions"/>
    <s v="Brake Pads"/>
    <s v="2024-11-10"/>
    <s v="Critical"/>
  </r>
  <r>
    <s v="MN0015"/>
    <s v="VH029"/>
    <x v="5"/>
    <x v="5"/>
    <s v="2024-04-07"/>
    <n v="39539"/>
    <n v="13"/>
    <s v="QuickServ Auto"/>
    <s v="Battery"/>
    <s v="2024-06-28"/>
    <s v="High"/>
  </r>
  <r>
    <s v="MN0016"/>
    <s v="VH011"/>
    <x v="2"/>
    <x v="2"/>
    <s v="2024-03-12"/>
    <n v="34091"/>
    <n v="15"/>
    <s v="SpeedyRepair"/>
    <s v="NA"/>
    <s v="2024-11-17"/>
    <s v="Critical"/>
  </r>
  <r>
    <s v="MN0017"/>
    <s v="VH028"/>
    <x v="1"/>
    <x v="0"/>
    <s v="2024-04-24"/>
    <n v="39454"/>
    <n v="9"/>
    <s v="AutoCare Pro"/>
    <s v="Battery"/>
    <s v="2024-06-05"/>
    <s v="Medium"/>
  </r>
  <r>
    <s v="MN0018"/>
    <s v="VH012"/>
    <x v="3"/>
    <x v="8"/>
    <s v="2024-02-27"/>
    <n v="26704"/>
    <n v="1"/>
    <s v="PrimeAuto Workshop"/>
    <s v="Oil Filter"/>
    <s v="2024-06-21"/>
    <s v="Medium"/>
  </r>
  <r>
    <s v="MN0019"/>
    <s v="VH009"/>
    <x v="1"/>
    <x v="6"/>
    <s v="2024-03-02"/>
    <n v="30668"/>
    <n v="12"/>
    <s v="AutoCare Pro"/>
    <s v="Battery"/>
    <s v="2024-06-12"/>
    <s v="Critical"/>
  </r>
  <r>
    <s v="MN0020"/>
    <s v="VH021"/>
    <x v="3"/>
    <x v="3"/>
    <s v="2024-01-02"/>
    <n v="20518"/>
    <n v="4"/>
    <s v="MechMaster"/>
    <s v="Clutch Plate"/>
    <s v="2024-06-14"/>
    <s v="Low"/>
  </r>
  <r>
    <s v="MN0021"/>
    <s v="VH004"/>
    <x v="3"/>
    <x v="8"/>
    <s v="2024-04-25"/>
    <n v="6135"/>
    <n v="8"/>
    <s v="PrimeAuto Workshop"/>
    <s v="Battery"/>
    <s v="2024-07-18"/>
    <s v="Low"/>
  </r>
  <r>
    <s v="MN0022"/>
    <s v="VH003"/>
    <x v="1"/>
    <x v="8"/>
    <s v="2024-04-17"/>
    <n v="32307"/>
    <n v="5"/>
    <s v="SpeedyRepair"/>
    <s v="Wiper Blades"/>
    <s v="2024-08-18"/>
    <s v="High"/>
  </r>
  <r>
    <s v="MN0023"/>
    <s v="VH011"/>
    <x v="2"/>
    <x v="5"/>
    <s v="2024-02-07"/>
    <n v="22127"/>
    <n v="13"/>
    <s v="PrimeAuto Workshop"/>
    <s v="Clutch Plate"/>
    <s v="2024-08-13"/>
    <s v="Low"/>
  </r>
  <r>
    <s v="MN0024"/>
    <s v="VH007"/>
    <x v="7"/>
    <x v="3"/>
    <s v="2024-03-21"/>
    <n v="30254"/>
    <n v="10"/>
    <s v="SpeedyRepair"/>
    <s v="Clutch Plate"/>
    <s v="2024-08-17"/>
    <s v="High"/>
  </r>
  <r>
    <s v="MN0025"/>
    <s v="VH026"/>
    <x v="0"/>
    <x v="2"/>
    <s v="2024-03-12"/>
    <n v="35941"/>
    <n v="5"/>
    <s v="QuickServ Auto"/>
    <s v="NA"/>
    <s v="2024-07-27"/>
    <s v="High"/>
  </r>
  <r>
    <s v="MN0026"/>
    <s v="VH017"/>
    <x v="1"/>
    <x v="5"/>
    <s v="2024-03-10"/>
    <n v="22421"/>
    <n v="3"/>
    <s v="MechMaster"/>
    <s v="Belt Assembly"/>
    <s v="2024-06-09"/>
    <s v="High"/>
  </r>
  <r>
    <s v="MN0027"/>
    <s v="VH006"/>
    <x v="5"/>
    <x v="8"/>
    <s v="2024-03-19"/>
    <n v="19147"/>
    <n v="13"/>
    <s v="SpeedyRepair"/>
    <s v="Clutch Plate"/>
    <s v="2024-06-22"/>
    <s v="Critical"/>
  </r>
  <r>
    <s v="MN0028"/>
    <s v="VH026"/>
    <x v="0"/>
    <x v="7"/>
    <s v="2024-03-16"/>
    <n v="22311"/>
    <n v="12"/>
    <s v="FleetFix Solutions"/>
    <s v="Clutch Plate"/>
    <s v="2024-11-28"/>
    <s v="Critical"/>
  </r>
  <r>
    <s v="MN0029"/>
    <s v="VH020"/>
    <x v="8"/>
    <x v="0"/>
    <s v="2024-01-20"/>
    <n v="14078"/>
    <n v="9"/>
    <s v="MechMaster"/>
    <s v="Coolant"/>
    <s v="2024-12-22"/>
    <s v="Low"/>
  </r>
  <r>
    <s v="MN0030"/>
    <s v="VH019"/>
    <x v="6"/>
    <x v="1"/>
    <s v="2024-04-11"/>
    <n v="40836"/>
    <n v="11"/>
    <s v="SpeedyRepair"/>
    <s v="Battery"/>
    <s v="2024-06-12"/>
    <s v="High"/>
  </r>
  <r>
    <s v="MN0031"/>
    <s v="VH005"/>
    <x v="4"/>
    <x v="1"/>
    <s v="2024-04-23"/>
    <n v="40908"/>
    <n v="5"/>
    <s v="AutoCare Pro"/>
    <s v="Wiper Blades"/>
    <s v="2024-09-11"/>
    <s v="High"/>
  </r>
  <r>
    <s v="MN0032"/>
    <s v="VH003"/>
    <x v="1"/>
    <x v="0"/>
    <s v="2024-02-06"/>
    <n v="15148"/>
    <n v="0"/>
    <s v="MechMaster"/>
    <s v="Belt Assembly"/>
    <s v="2024-06-17"/>
    <s v="Critical"/>
  </r>
  <r>
    <s v="MN0033"/>
    <s v="VH008"/>
    <x v="8"/>
    <x v="2"/>
    <s v="2024-01-16"/>
    <n v="5269"/>
    <n v="13"/>
    <s v="AutoCare Pro"/>
    <s v="Brake Pads"/>
    <s v="2024-05-02"/>
    <s v="High"/>
  </r>
  <r>
    <s v="MN0034"/>
    <s v="VH016"/>
    <x v="3"/>
    <x v="5"/>
    <s v="2024-03-13"/>
    <n v="24428"/>
    <n v="6"/>
    <s v="PrimeAuto Workshop"/>
    <s v="Tires (Set of 4)"/>
    <s v="2024-08-19"/>
    <s v="Low"/>
  </r>
  <r>
    <s v="MN0035"/>
    <s v="VH022"/>
    <x v="1"/>
    <x v="3"/>
    <s v="2024-02-06"/>
    <n v="37379"/>
    <n v="6"/>
    <s v="QuickServ Auto"/>
    <s v="Tires (Set of 4)"/>
    <s v="2024-09-02"/>
    <s v="Low"/>
  </r>
  <r>
    <s v="MN0036"/>
    <s v="VH017"/>
    <x v="1"/>
    <x v="2"/>
    <s v="2024-03-21"/>
    <n v="20529"/>
    <n v="15"/>
    <s v="FleetFix Solutions"/>
    <s v="Brake Pads"/>
    <s v="2024-12-15"/>
    <s v="Critical"/>
  </r>
  <r>
    <s v="MN0037"/>
    <s v="VH024"/>
    <x v="7"/>
    <x v="4"/>
    <s v="2024-04-04"/>
    <n v="16954"/>
    <n v="3"/>
    <s v="SpeedyRepair"/>
    <s v="Wiper Blades"/>
    <s v="2024-08-10"/>
    <s v="High"/>
  </r>
  <r>
    <s v="MN0038"/>
    <s v="VH024"/>
    <x v="7"/>
    <x v="0"/>
    <s v="2024-03-16"/>
    <n v="16764"/>
    <n v="10"/>
    <s v="FleetFix Solutions"/>
    <s v="Oil Filter"/>
    <s v="2024-05-01"/>
    <s v="Medium"/>
  </r>
  <r>
    <s v="MN0039"/>
    <s v="VH025"/>
    <x v="3"/>
    <x v="3"/>
    <s v="2024-01-14"/>
    <n v="38870"/>
    <n v="6"/>
    <s v="SpeedyRepair"/>
    <s v="NA"/>
    <s v="2024-11-08"/>
    <s v="Critical"/>
  </r>
  <r>
    <s v="MN0040"/>
    <s v="VH023"/>
    <x v="2"/>
    <x v="2"/>
    <s v="2024-03-11"/>
    <n v="10981"/>
    <n v="3"/>
    <s v="SpeedyRepair"/>
    <s v="Tires (Set of 4)"/>
    <s v="2024-12-20"/>
    <s v="Critical"/>
  </r>
  <r>
    <s v="MN0041"/>
    <s v="VH006"/>
    <x v="5"/>
    <x v="4"/>
    <s v="2024-04-14"/>
    <n v="7251"/>
    <n v="0"/>
    <s v="AutoCare Pro"/>
    <s v="Oil Filter"/>
    <s v="2024-07-01"/>
    <s v="High"/>
  </r>
  <r>
    <s v="MN0042"/>
    <s v="VH026"/>
    <x v="0"/>
    <x v="5"/>
    <s v="2024-03-18"/>
    <n v="21325"/>
    <n v="2"/>
    <s v="QuickServ Auto"/>
    <s v="Clutch Plate"/>
    <s v="2024-06-20"/>
    <s v="Critical"/>
  </r>
  <r>
    <s v="MN0043"/>
    <s v="VH002"/>
    <x v="2"/>
    <x v="6"/>
    <s v="2024-03-15"/>
    <n v="43295"/>
    <n v="5"/>
    <s v="AutoCare Pro"/>
    <s v="Air Filter"/>
    <s v="2024-09-25"/>
    <s v="High"/>
  </r>
  <r>
    <s v="MN0044"/>
    <s v="VH030"/>
    <x v="6"/>
    <x v="1"/>
    <s v="2024-03-27"/>
    <n v="23714"/>
    <n v="0"/>
    <s v="FleetFix Solutions"/>
    <s v="Battery"/>
    <s v="2024-09-15"/>
    <s v="Medium"/>
  </r>
  <r>
    <s v="MN0045"/>
    <s v="VH014"/>
    <x v="5"/>
    <x v="0"/>
    <s v="2024-03-06"/>
    <n v="29399"/>
    <n v="15"/>
    <s v="SpeedyRepair"/>
    <s v="Air Filter"/>
    <s v="2024-05-26"/>
    <s v="Low"/>
  </r>
  <r>
    <s v="MN0046"/>
    <s v="VH026"/>
    <x v="0"/>
    <x v="4"/>
    <s v="2024-04-07"/>
    <n v="36231"/>
    <n v="4"/>
    <s v="AutoCare Pro"/>
    <s v="Battery"/>
    <s v="2024-06-27"/>
    <s v="High"/>
  </r>
  <r>
    <s v="MN0047"/>
    <s v="VH030"/>
    <x v="6"/>
    <x v="0"/>
    <s v="2024-02-21"/>
    <n v="26920"/>
    <n v="7"/>
    <s v="PrimeAuto Workshop"/>
    <s v="Battery"/>
    <s v="2024-11-04"/>
    <s v="Medium"/>
  </r>
  <r>
    <s v="MN0048"/>
    <s v="VH022"/>
    <x v="1"/>
    <x v="8"/>
    <s v="2024-01-17"/>
    <n v="26514"/>
    <n v="4"/>
    <s v="QuickServ Auto"/>
    <s v="Clutch Plate"/>
    <s v="2024-06-15"/>
    <s v="High"/>
  </r>
  <r>
    <s v="MN0049"/>
    <s v="VH020"/>
    <x v="8"/>
    <x v="6"/>
    <s v="2024-02-22"/>
    <n v="37320"/>
    <n v="4"/>
    <s v="MechMaster"/>
    <s v="Brake Pads"/>
    <s v="2024-10-20"/>
    <s v="Medium"/>
  </r>
  <r>
    <s v="MN0050"/>
    <s v="VH025"/>
    <x v="3"/>
    <x v="4"/>
    <s v="2024-04-13"/>
    <n v="32129"/>
    <n v="0"/>
    <s v="FleetFix Solutions"/>
    <s v="Spark Plugs"/>
    <s v="2024-05-20"/>
    <s v="Medium"/>
  </r>
  <r>
    <s v="MN0051"/>
    <s v="VH013"/>
    <x v="4"/>
    <x v="4"/>
    <s v="2024-01-04"/>
    <n v="24956"/>
    <n v="11"/>
    <s v="PrimeAuto Workshop"/>
    <s v="Coolant"/>
    <s v="2024-07-06"/>
    <s v="High"/>
  </r>
  <r>
    <s v="MN0052"/>
    <s v="VH015"/>
    <x v="7"/>
    <x v="6"/>
    <s v="2024-01-18"/>
    <n v="3314"/>
    <n v="0"/>
    <s v="MechMaster"/>
    <s v="Battery"/>
    <s v="2024-11-10"/>
    <s v="Medium"/>
  </r>
  <r>
    <s v="MN0053"/>
    <s v="VH030"/>
    <x v="6"/>
    <x v="7"/>
    <s v="2024-02-24"/>
    <n v="40578"/>
    <n v="0"/>
    <s v="MechMaster"/>
    <s v="Wiper Blades"/>
    <s v="2024-11-13"/>
    <s v="High"/>
  </r>
  <r>
    <s v="MN0054"/>
    <s v="VH012"/>
    <x v="3"/>
    <x v="8"/>
    <s v="2024-01-08"/>
    <n v="14243"/>
    <n v="3"/>
    <s v="QuickServ Auto"/>
    <s v="Battery"/>
    <s v="2024-06-15"/>
    <s v="Critical"/>
  </r>
  <r>
    <s v="MN0055"/>
    <s v="VH007"/>
    <x v="7"/>
    <x v="4"/>
    <s v="2024-03-03"/>
    <n v="41384"/>
    <n v="9"/>
    <s v="MechMaster"/>
    <s v="Tires (Set of 4)"/>
    <s v="2024-09-10"/>
    <s v="Low"/>
  </r>
  <r>
    <s v="MN0056"/>
    <s v="VH010"/>
    <x v="6"/>
    <x v="0"/>
    <s v="2024-03-03"/>
    <n v="44009"/>
    <n v="0"/>
    <s v="MechMaster"/>
    <s v="Coolant"/>
    <s v="2024-12-04"/>
    <s v="High"/>
  </r>
  <r>
    <s v="MN0057"/>
    <s v="VH028"/>
    <x v="1"/>
    <x v="4"/>
    <s v="2024-01-24"/>
    <n v="25871"/>
    <n v="12"/>
    <s v="QuickServ Auto"/>
    <s v="Spark Plugs"/>
    <s v="2024-07-19"/>
    <s v="Medium"/>
  </r>
  <r>
    <s v="MN0058"/>
    <s v="VH001"/>
    <x v="6"/>
    <x v="4"/>
    <s v="2024-04-02"/>
    <n v="19702"/>
    <n v="12"/>
    <s v="QuickServ Auto"/>
    <s v="Belt Assembly"/>
    <s v="2024-09-03"/>
    <s v="Low"/>
  </r>
  <r>
    <s v="MN0059"/>
    <s v="VH001"/>
    <x v="6"/>
    <x v="7"/>
    <s v="2024-02-13"/>
    <n v="23140"/>
    <n v="9"/>
    <s v="AutoCare Pro"/>
    <s v="Spark Plugs"/>
    <s v="2024-11-12"/>
    <s v="Critical"/>
  </r>
  <r>
    <s v="MN0060"/>
    <s v="VH022"/>
    <x v="1"/>
    <x v="7"/>
    <s v="2024-03-24"/>
    <n v="18338"/>
    <n v="0"/>
    <s v="MechMaster"/>
    <s v="NA"/>
    <s v="2024-11-14"/>
    <s v="Medium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VH001"/>
    <s v="Toyota"/>
    <s v="Camry"/>
    <n v="2021"/>
    <s v="Sedan"/>
    <x v="0"/>
    <n v="45000"/>
    <s v="Active"/>
    <s v="Mumbai"/>
    <s v="Corporate"/>
    <n v="15.5"/>
    <s v="2024-01-15"/>
    <n v="12500"/>
    <n v="850"/>
    <n v="4.2"/>
  </r>
  <r>
    <s v="VH002"/>
    <s v="Hyundai"/>
    <s v="Creta"/>
    <n v="2022"/>
    <s v="SUV"/>
    <x v="1"/>
    <n v="32000"/>
    <s v="Active"/>
    <s v="Delhi"/>
    <s v="Corporate"/>
    <n v="14.2"/>
    <s v="2024-02-20"/>
    <n v="9800"/>
    <n v="920"/>
    <n v="4.5"/>
  </r>
  <r>
    <s v="VH003"/>
    <s v="Maruti"/>
    <s v="Swift Dzire"/>
    <n v="2020"/>
    <s v="Sedan"/>
    <x v="2"/>
    <n v="68000"/>
    <s v="Active"/>
    <s v="Bangalore"/>
    <s v="Ride-Hailing"/>
    <n v="22.1"/>
    <s v="2023-11-10"/>
    <n v="15200"/>
    <n v="680"/>
    <n v="3.8"/>
  </r>
  <r>
    <s v="VH004"/>
    <s v="Tata"/>
    <s v="Nexon EV"/>
    <n v="2023"/>
    <s v="SUV"/>
    <x v="3"/>
    <n v="15000"/>
    <s v="Active"/>
    <s v="Hyderabad"/>
    <s v="Last-Mile"/>
    <n v="0"/>
    <s v="2024-03-05"/>
    <n v="7500"/>
    <n v="1100"/>
    <n v="4.7"/>
  </r>
  <r>
    <s v="VH005"/>
    <s v="Mahindra"/>
    <s v="XUV700"/>
    <n v="2022"/>
    <s v="SUV"/>
    <x v="1"/>
    <n v="41000"/>
    <s v="Under Maintenance"/>
    <s v="Pune"/>
    <s v="Corporate"/>
    <n v="13.8"/>
    <s v="2024-01-28"/>
    <n v="11200"/>
    <n v="1050"/>
    <n v="4.0999999999999996"/>
  </r>
  <r>
    <s v="VH006"/>
    <s v="Honda"/>
    <s v="City"/>
    <n v="2021"/>
    <s v="Sedan"/>
    <x v="0"/>
    <n v="52000"/>
    <s v="Active"/>
    <s v="Chennai"/>
    <s v="Ride-Hailing"/>
    <n v="16.3"/>
    <s v="2023-12-15"/>
    <n v="13800"/>
    <n v="780"/>
    <n v="3.9"/>
  </r>
  <r>
    <s v="VH007"/>
    <s v="Kia"/>
    <s v="Seltos"/>
    <n v="2023"/>
    <s v="SUV"/>
    <x v="0"/>
    <n v="18000"/>
    <s v="Active"/>
    <s v="Mumbai"/>
    <s v="Corporate"/>
    <n v="14.8"/>
    <s v="2024-04-01"/>
    <n v="6200"/>
    <n v="980"/>
    <n v="4.5999999999999996"/>
  </r>
  <r>
    <s v="VH008"/>
    <s v="MG"/>
    <s v="ZS EV"/>
    <n v="2022"/>
    <s v="SUV"/>
    <x v="3"/>
    <n v="28000"/>
    <s v="Active"/>
    <s v="Delhi"/>
    <s v="Last-Mile"/>
    <n v="0"/>
    <s v="2024-02-10"/>
    <n v="8900"/>
    <n v="1200"/>
    <n v="4.3"/>
  </r>
  <r>
    <s v="VH009"/>
    <s v="Maruti"/>
    <s v="Ertiga"/>
    <n v="2020"/>
    <s v="MPV"/>
    <x v="2"/>
    <n v="75000"/>
    <s v="Active"/>
    <s v="Bangalore"/>
    <s v="Shuttle"/>
    <n v="19.5"/>
    <s v="2023-10-20"/>
    <n v="16800"/>
    <n v="720"/>
    <n v="3.7"/>
  </r>
  <r>
    <s v="VH010"/>
    <s v="Toyota"/>
    <s v="Innova Crysta"/>
    <n v="2021"/>
    <s v="MPV"/>
    <x v="1"/>
    <n v="58000"/>
    <s v="Active"/>
    <s v="Hyderabad"/>
    <s v="Shuttle"/>
    <n v="12.1"/>
    <s v="2023-09-15"/>
    <n v="14500"/>
    <n v="1350"/>
    <n v="4.4000000000000004"/>
  </r>
  <r>
    <s v="VH011"/>
    <s v="Hyundai"/>
    <s v="Aura"/>
    <n v="2022"/>
    <s v="Sedan"/>
    <x v="2"/>
    <n v="35000"/>
    <s v="Active"/>
    <s v="Pune"/>
    <s v="Ride-Hailing"/>
    <n v="24.5"/>
    <s v="2024-01-05"/>
    <n v="10200"/>
    <n v="620"/>
    <n v="4"/>
  </r>
  <r>
    <s v="VH012"/>
    <s v="Tata"/>
    <s v="Tigor EV"/>
    <n v="2023"/>
    <s v="Sedan"/>
    <x v="3"/>
    <n v="12000"/>
    <s v="Active"/>
    <s v="Chennai"/>
    <s v="Last-Mile"/>
    <n v="0"/>
    <s v="2024-03-20"/>
    <n v="5800"/>
    <n v="950"/>
    <n v="4.8"/>
  </r>
  <r>
    <s v="VH013"/>
    <s v="Mahindra"/>
    <s v="Scorpio"/>
    <n v="2019"/>
    <s v="SUV"/>
    <x v="1"/>
    <n v="89000"/>
    <s v="Under Maintenance"/>
    <s v="Mumbai"/>
    <s v="Corporate"/>
    <n v="11.5"/>
    <s v="2023-08-10"/>
    <n v="18500"/>
    <n v="1150"/>
    <n v="3.5"/>
  </r>
  <r>
    <s v="VH014"/>
    <s v="Honda"/>
    <s v="Amaze"/>
    <n v="2021"/>
    <s v="Sedan"/>
    <x v="0"/>
    <n v="47000"/>
    <s v="Active"/>
    <s v="Delhi"/>
    <s v="Ride-Hailing"/>
    <n v="18.2"/>
    <s v="2023-12-01"/>
    <n v="12800"/>
    <n v="710"/>
    <n v="4.0999999999999996"/>
  </r>
  <r>
    <s v="VH015"/>
    <s v="Kia"/>
    <s v="Carnival"/>
    <n v="2022"/>
    <s v="MPV"/>
    <x v="1"/>
    <n v="30000"/>
    <s v="Active"/>
    <s v="Bangalore"/>
    <s v="Shuttle"/>
    <n v="10.8"/>
    <s v="2024-02-28"/>
    <n v="8500"/>
    <n v="1580"/>
    <n v="4.5999999999999996"/>
  </r>
  <r>
    <s v="VH016"/>
    <s v="Tata"/>
    <s v="Punch"/>
    <n v="2023"/>
    <s v="SUV"/>
    <x v="0"/>
    <n v="8000"/>
    <s v="Active"/>
    <s v="Hyderabad"/>
    <s v="Last-Mile"/>
    <n v="17.8"/>
    <s v="2024-04-10"/>
    <n v="3200"/>
    <n v="750"/>
    <n v="4.9000000000000004"/>
  </r>
  <r>
    <s v="VH017"/>
    <s v="Maruti"/>
    <s v="Ciaz"/>
    <n v="2020"/>
    <s v="Sedan"/>
    <x v="0"/>
    <n v="62000"/>
    <s v="Decommissioned"/>
    <s v="Pune"/>
    <s v="Corporate"/>
    <n v="17.2"/>
    <s v="2023-07-15"/>
    <n v="14200"/>
    <n v="800"/>
    <n v="3.6"/>
  </r>
  <r>
    <s v="VH018"/>
    <s v="Hyundai"/>
    <s v="Venue"/>
    <n v="2022"/>
    <s v="SUV"/>
    <x v="1"/>
    <n v="38000"/>
    <s v="Active"/>
    <s v="Chennai"/>
    <s v="Ride-Hailing"/>
    <n v="15.9"/>
    <s v="2024-01-18"/>
    <n v="10800"/>
    <n v="880"/>
    <n v="4.2"/>
  </r>
  <r>
    <s v="VH019"/>
    <s v="Toyota"/>
    <s v="Fortuner"/>
    <n v="2021"/>
    <s v="SUV"/>
    <x v="1"/>
    <n v="45000"/>
    <s v="Active"/>
    <s v="Mumbai"/>
    <s v="Corporate"/>
    <n v="10.199999999999999"/>
    <s v="2023-11-25"/>
    <n v="12000"/>
    <n v="1800"/>
    <n v="4.5"/>
  </r>
  <r>
    <s v="VH020"/>
    <s v="MG"/>
    <s v="Hector"/>
    <n v="2022"/>
    <s v="SUV"/>
    <x v="0"/>
    <n v="25000"/>
    <s v="Active"/>
    <s v="Delhi"/>
    <s v="Corporate"/>
    <n v="13.5"/>
    <s v="2024-03-12"/>
    <n v="7800"/>
    <n v="1020"/>
    <n v="4.3"/>
  </r>
  <r>
    <s v="VH021"/>
    <s v="Tata"/>
    <s v="Nexon"/>
    <n v="2021"/>
    <s v="SUV"/>
    <x v="0"/>
    <n v="42000"/>
    <s v="Active"/>
    <s v="Bangalore"/>
    <s v="Ride-Hailing"/>
    <n v="16"/>
    <s v="2023-12-20"/>
    <n v="11500"/>
    <n v="850"/>
    <n v="4"/>
  </r>
  <r>
    <s v="VH022"/>
    <s v="Maruti"/>
    <s v="Brezza"/>
    <n v="2023"/>
    <s v="SUV"/>
    <x v="2"/>
    <n v="14000"/>
    <s v="Active"/>
    <s v="Hyderabad"/>
    <s v="Ride-Hailing"/>
    <n v="20.3"/>
    <s v="2024-04-05"/>
    <n v="5500"/>
    <n v="790"/>
    <n v="4.7"/>
  </r>
  <r>
    <s v="VH023"/>
    <s v="Hyundai"/>
    <s v="i20"/>
    <n v="2020"/>
    <s v="Hatchback"/>
    <x v="0"/>
    <n v="55000"/>
    <s v="Active"/>
    <s v="Pune"/>
    <s v="Last-Mile"/>
    <n v="18.8"/>
    <s v="2023-10-10"/>
    <n v="13200"/>
    <n v="650"/>
    <n v="3.8"/>
  </r>
  <r>
    <s v="VH024"/>
    <s v="Kia"/>
    <s v="Sonet"/>
    <n v="2022"/>
    <s v="SUV"/>
    <x v="1"/>
    <n v="33000"/>
    <s v="Active"/>
    <s v="Chennai"/>
    <s v="Ride-Hailing"/>
    <n v="15.1"/>
    <s v="2024-02-05"/>
    <n v="9500"/>
    <n v="870"/>
    <n v="4.4000000000000004"/>
  </r>
  <r>
    <s v="VH025"/>
    <s v="Tata"/>
    <s v="Altroz"/>
    <n v="2021"/>
    <s v="Hatchback"/>
    <x v="0"/>
    <n v="48000"/>
    <s v="Under Maintenance"/>
    <s v="Mumbai"/>
    <s v="Last-Mile"/>
    <n v="19.2"/>
    <s v="2023-09-28"/>
    <n v="12200"/>
    <n v="680"/>
    <n v="3.9"/>
  </r>
  <r>
    <s v="VH026"/>
    <s v="BYD"/>
    <s v="e6"/>
    <n v="2023"/>
    <s v="MPV"/>
    <x v="3"/>
    <n v="20000"/>
    <s v="Active"/>
    <s v="Delhi"/>
    <s v="Shuttle"/>
    <n v="0"/>
    <s v="2024-03-15"/>
    <n v="7200"/>
    <n v="1450"/>
    <n v="4.5999999999999996"/>
  </r>
  <r>
    <s v="VH027"/>
    <s v="Mahindra"/>
    <s v="Bolero"/>
    <n v="2019"/>
    <s v="SUV"/>
    <x v="1"/>
    <n v="95000"/>
    <s v="Active"/>
    <s v="Bangalore"/>
    <s v="Last-Mile"/>
    <n v="10.5"/>
    <s v="2023-06-20"/>
    <n v="19800"/>
    <n v="780"/>
    <n v="3.4"/>
  </r>
  <r>
    <s v="VH028"/>
    <s v="Maruti"/>
    <s v="Wagon R"/>
    <n v="2022"/>
    <s v="Hatchback"/>
    <x v="2"/>
    <n v="28000"/>
    <s v="Active"/>
    <s v="Hyderabad"/>
    <s v="Ride-Hailing"/>
    <n v="26.8"/>
    <s v="2024-01-22"/>
    <n v="8200"/>
    <n v="550"/>
    <n v="4.2"/>
  </r>
  <r>
    <s v="VH029"/>
    <s v="Honda"/>
    <s v="WR-V"/>
    <n v="2021"/>
    <s v="SUV"/>
    <x v="0"/>
    <n v="40000"/>
    <s v="Decommissioned"/>
    <s v="Pune"/>
    <s v="Corporate"/>
    <n v="15.6"/>
    <s v="2023-08-30"/>
    <n v="11000"/>
    <n v="820"/>
    <n v="3.7"/>
  </r>
  <r>
    <s v="VH030"/>
    <s v="Toyota"/>
    <s v="Glanza"/>
    <n v="2023"/>
    <s v="Hatchback"/>
    <x v="0"/>
    <n v="10000"/>
    <s v="Active"/>
    <s v="Chennai"/>
    <s v="Last-Mile"/>
    <n v="21.5"/>
    <s v="2024-04-15"/>
    <n v="4200"/>
    <n v="700"/>
    <n v="4.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43B91B-8110-410D-AF27-4F28E284A39A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6:H22" firstHeaderRow="1" firstDataRow="2" firstDataCol="1"/>
  <pivotFields count="16">
    <pivotField showAll="0"/>
    <pivotField showAll="0"/>
    <pivotField showAll="0"/>
    <pivotField showAll="0"/>
    <pivotField axis="axisCol" showAll="0">
      <items count="7">
        <item x="0"/>
        <item x="4"/>
        <item x="1"/>
        <item x="2"/>
        <item x="3"/>
        <item x="5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Average of Customer_Rating" fld="12" subtotal="average" baseField="5" baseItem="1" numFmtId="2"/>
  </dataFields>
  <formats count="2">
    <format dxfId="14">
      <pivotArea collapsedLevelsAreSubtotals="1" fieldPosition="0">
        <references count="1">
          <reference field="5" count="0"/>
        </references>
      </pivotArea>
    </format>
    <format dxfId="13">
      <pivotArea dataOnly="0" labelOnly="1" fieldPosition="0">
        <references count="1">
          <reference field="5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F48B33-AF60-4D0E-ABC1-AA20F850C0C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F12" firstHeaderRow="1" firstDataRow="2" firstDataCol="1"/>
  <pivotFields count="14">
    <pivotField axis="axisCol" showAll="0">
      <items count="5">
        <item x="0"/>
        <item x="1"/>
        <item x="2"/>
        <item x="3"/>
        <item t="default"/>
      </items>
    </pivotField>
    <pivotField axis="axisRow" showAll="0">
      <items count="7">
        <item x="2"/>
        <item x="5"/>
        <item x="1"/>
        <item x="3"/>
        <item x="0"/>
        <item x="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10"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Sum of Revenue_INR" fld="6" baseField="0" baseItem="0" numFmtId="167"/>
  </dataFields>
  <formats count="4">
    <format dxfId="18">
      <pivotArea outline="0" fieldPosition="0">
        <references count="1">
          <reference field="4294967294" count="1">
            <x v="0"/>
          </reference>
        </references>
      </pivotArea>
    </format>
    <format dxfId="17">
      <pivotArea dataOnly="0" fieldPosition="0">
        <references count="1">
          <reference field="1" count="0"/>
        </references>
      </pivotArea>
    </format>
    <format dxfId="16">
      <pivotArea collapsedLevelsAreSubtotals="1" fieldPosition="0">
        <references count="1">
          <reference field="1" count="0"/>
        </references>
      </pivotArea>
    </format>
    <format dxfId="15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253120-222E-4A7B-90EC-1061DEEB0868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7:K38" firstHeaderRow="1" firstDataRow="2" firstDataCol="1"/>
  <pivotFields count="11">
    <pivotField showAll="0"/>
    <pivotField showAll="0"/>
    <pivotField axis="axisRow" showAll="0">
      <items count="10">
        <item x="0"/>
        <item x="5"/>
        <item x="2"/>
        <item x="7"/>
        <item x="4"/>
        <item x="1"/>
        <item x="8"/>
        <item x="3"/>
        <item x="6"/>
        <item t="default"/>
      </items>
    </pivotField>
    <pivotField axis="axisCol" showAll="0">
      <items count="10">
        <item x="0"/>
        <item x="5"/>
        <item x="1"/>
        <item x="4"/>
        <item x="6"/>
        <item x="7"/>
        <item x="8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3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Sum of Cost_INR" fld="5" baseField="0" baseItem="0" numFmtId="168"/>
  </dataFields>
  <formats count="1">
    <format dxfId="19">
      <pivotArea dataOnly="0" fieldPosition="0">
        <references count="1">
          <reference field="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BDF9CB-46D4-4AD2-AB63-4C92FDBD2342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25:H31" firstHeaderRow="1" firstDataRow="2" firstDataCol="1"/>
  <pivotFields count="14"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7">
        <item x="2"/>
        <item x="5"/>
        <item x="1"/>
        <item x="3"/>
        <item x="0"/>
        <item x="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10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Revenue_INR" fld="6" baseField="0" baseItem="0"/>
  </dataFields>
  <formats count="1">
    <format dxfId="6">
      <pivotArea collapsedLevelsAreSubtotals="1" fieldPosition="0">
        <references count="1">
          <reference field="0" count="0"/>
        </references>
      </pivotArea>
    </format>
  </formats>
  <chartFormats count="6"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C9356C-A739-4834-855E-89DAFDD7E692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6:B21" firstHeaderRow="1" firstDataRow="1" firstDataCol="1"/>
  <pivotFields count="15">
    <pivotField dataField="1" showAll="0"/>
    <pivotField showAll="0"/>
    <pivotField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numFmtId="3"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Vehicle_ID" fld="0" subtotal="count" baseField="0" baseItem="0"/>
  </dataFields>
  <formats count="2">
    <format dxfId="8">
      <pivotArea collapsedLevelsAreSubtotals="1" fieldPosition="0">
        <references count="1">
          <reference field="5" count="0"/>
        </references>
      </pivotArea>
    </format>
    <format dxfId="7">
      <pivotArea dataOnly="0" labelOnly="1" fieldPosition="0">
        <references count="1">
          <reference field="5" count="0"/>
        </references>
      </pivotArea>
    </format>
  </formats>
  <chartFormats count="5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FF47C6-3AB5-4DB2-87E2-2A23297C8143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4:F12" firstHeaderRow="1" firstDataRow="2" firstDataCol="1"/>
  <pivotFields count="14">
    <pivotField showAll="0">
      <items count="5">
        <item x="0"/>
        <item x="1"/>
        <item x="2"/>
        <item x="3"/>
        <item t="default"/>
      </items>
    </pivotField>
    <pivotField axis="axisRow" showAll="0">
      <items count="7">
        <item x="2"/>
        <item x="5"/>
        <item x="1"/>
        <item x="3"/>
        <item x="0"/>
        <item x="4"/>
        <item t="default"/>
      </items>
    </pivotField>
    <pivotField axis="axisCol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10"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Revenue_INR" fld="6" baseField="0" baseItem="0" numFmtId="167"/>
  </dataFields>
  <formats count="4">
    <format dxfId="12">
      <pivotArea outline="0" fieldPosition="0">
        <references count="1">
          <reference field="4294967294" count="1">
            <x v="0"/>
          </reference>
        </references>
      </pivotArea>
    </format>
    <format dxfId="11">
      <pivotArea dataOnly="0" fieldPosition="0">
        <references count="1">
          <reference field="1" count="0"/>
        </references>
      </pivotArea>
    </format>
    <format dxfId="10">
      <pivotArea collapsedLevelsAreSubtotals="1" fieldPosition="0">
        <references count="1">
          <reference field="1" count="0"/>
        </references>
      </pivotArea>
    </format>
    <format dxfId="9">
      <pivotArea grandRow="1" outline="0" collapsedLevelsAreSubtotals="1" fieldPosition="0"/>
    </format>
  </formats>
  <chartFormats count="4"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0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EE7DAD-2104-4468-BB09-614F9A96A01E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5:C42" firstHeaderRow="0" firstDataRow="1" firstDataCol="1"/>
  <pivotFields count="14">
    <pivotField showAll="0"/>
    <pivotField axis="axisRow" showAll="0">
      <items count="7">
        <item x="2"/>
        <item x="5"/>
        <item x="1"/>
        <item x="3"/>
        <item x="0"/>
        <item x="4"/>
        <item t="default"/>
      </items>
    </pivotField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10"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_INR" fld="6" baseField="0" baseItem="0"/>
    <dataField name="Sum of Total_Trips" fld="3" baseField="0" baseItem="0"/>
  </dataFields>
  <chartFormats count="2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pivotTable" Target="../pivotTables/pivotTable7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D17"/>
  <sheetViews>
    <sheetView showGridLines="0" workbookViewId="0">
      <selection activeCell="B5" sqref="B5"/>
    </sheetView>
  </sheetViews>
  <sheetFormatPr defaultRowHeight="14.4" x14ac:dyDescent="0.3"/>
  <cols>
    <col min="1" max="1" width="15.33203125" bestFit="1" customWidth="1"/>
    <col min="2" max="2" width="80" customWidth="1"/>
    <col min="3" max="4" width="15" customWidth="1"/>
  </cols>
  <sheetData>
    <row r="1" spans="1:4" ht="23.4" x14ac:dyDescent="0.3">
      <c r="A1" s="57" t="s">
        <v>688</v>
      </c>
      <c r="B1" s="56"/>
      <c r="C1" s="56"/>
      <c r="D1" s="56"/>
    </row>
    <row r="3" spans="1:4" ht="17.399999999999999" x14ac:dyDescent="0.35">
      <c r="A3" s="58" t="s">
        <v>0</v>
      </c>
      <c r="B3" s="56"/>
      <c r="C3" s="56"/>
      <c r="D3" s="56"/>
    </row>
    <row r="4" spans="1:4" x14ac:dyDescent="0.3">
      <c r="A4" s="1" t="s">
        <v>1</v>
      </c>
      <c r="B4" s="2" t="s">
        <v>689</v>
      </c>
    </row>
    <row r="5" spans="1:4" x14ac:dyDescent="0.3">
      <c r="A5" s="1" t="s">
        <v>2</v>
      </c>
      <c r="B5" s="13">
        <v>46207</v>
      </c>
    </row>
    <row r="6" spans="1:4" x14ac:dyDescent="0.3">
      <c r="A6" s="1" t="s">
        <v>3</v>
      </c>
      <c r="B6" s="3"/>
    </row>
    <row r="7" spans="1:4" x14ac:dyDescent="0.3">
      <c r="A7" s="1" t="s">
        <v>4</v>
      </c>
      <c r="B7" s="3" t="s">
        <v>5</v>
      </c>
    </row>
    <row r="9" spans="1:4" ht="17.399999999999999" x14ac:dyDescent="0.35">
      <c r="A9" s="58" t="s">
        <v>6</v>
      </c>
      <c r="B9" s="56"/>
      <c r="C9" s="56"/>
      <c r="D9" s="56"/>
    </row>
    <row r="10" spans="1:4" ht="22.05" customHeight="1" x14ac:dyDescent="0.3">
      <c r="A10" s="55" t="s">
        <v>7</v>
      </c>
      <c r="B10" s="56"/>
      <c r="C10" s="56"/>
      <c r="D10" s="56"/>
    </row>
    <row r="11" spans="1:4" ht="22.05" customHeight="1" x14ac:dyDescent="0.3">
      <c r="A11" s="55" t="s">
        <v>8</v>
      </c>
      <c r="B11" s="56"/>
      <c r="C11" s="56"/>
      <c r="D11" s="56"/>
    </row>
    <row r="12" spans="1:4" ht="22.05" customHeight="1" x14ac:dyDescent="0.3">
      <c r="A12" s="55" t="s">
        <v>9</v>
      </c>
      <c r="B12" s="56"/>
      <c r="C12" s="56"/>
      <c r="D12" s="56"/>
    </row>
    <row r="13" spans="1:4" ht="22.05" customHeight="1" x14ac:dyDescent="0.3">
      <c r="A13" s="55" t="s">
        <v>10</v>
      </c>
      <c r="B13" s="56"/>
      <c r="C13" s="56"/>
      <c r="D13" s="56"/>
    </row>
    <row r="14" spans="1:4" ht="22.05" customHeight="1" x14ac:dyDescent="0.3">
      <c r="A14" s="55" t="s">
        <v>11</v>
      </c>
      <c r="B14" s="56"/>
      <c r="C14" s="56"/>
      <c r="D14" s="56"/>
    </row>
    <row r="15" spans="1:4" ht="22.05" customHeight="1" x14ac:dyDescent="0.3">
      <c r="A15" s="55" t="s">
        <v>12</v>
      </c>
      <c r="B15" s="56"/>
      <c r="C15" s="56"/>
      <c r="D15" s="56"/>
    </row>
    <row r="16" spans="1:4" ht="22.05" customHeight="1" x14ac:dyDescent="0.3">
      <c r="A16" s="55" t="s">
        <v>13</v>
      </c>
      <c r="B16" s="56"/>
      <c r="C16" s="56"/>
      <c r="D16" s="56"/>
    </row>
    <row r="17" spans="1:4" ht="22.05" customHeight="1" x14ac:dyDescent="0.3">
      <c r="A17" s="55" t="s">
        <v>14</v>
      </c>
      <c r="B17" s="56"/>
      <c r="C17" s="56"/>
      <c r="D17" s="56"/>
    </row>
  </sheetData>
  <mergeCells count="11">
    <mergeCell ref="A13:D13"/>
    <mergeCell ref="A1:D1"/>
    <mergeCell ref="A15:D15"/>
    <mergeCell ref="A17:D17"/>
    <mergeCell ref="A11:D11"/>
    <mergeCell ref="A3:D3"/>
    <mergeCell ref="A9:D9"/>
    <mergeCell ref="A12:D12"/>
    <mergeCell ref="A14:D14"/>
    <mergeCell ref="A10:D10"/>
    <mergeCell ref="A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CB989-4159-42AB-B1C0-5BFCBD6B36D0}">
  <sheetPr>
    <tabColor rgb="FF1F4E79"/>
  </sheetPr>
  <dimension ref="A2:C18"/>
  <sheetViews>
    <sheetView showGridLines="0" topLeftCell="A16" zoomScale="97" zoomScaleNormal="80" workbookViewId="0">
      <selection activeCell="B16" sqref="B16:C16"/>
    </sheetView>
  </sheetViews>
  <sheetFormatPr defaultRowHeight="14.4" x14ac:dyDescent="0.3"/>
  <cols>
    <col min="1" max="1" width="15.33203125" bestFit="1" customWidth="1"/>
    <col min="2" max="2" width="80" customWidth="1"/>
    <col min="3" max="3" width="15" customWidth="1"/>
  </cols>
  <sheetData>
    <row r="2" spans="1:3" ht="18" x14ac:dyDescent="0.35">
      <c r="A2" s="61" t="s">
        <v>15</v>
      </c>
      <c r="B2" s="62"/>
      <c r="C2" s="62"/>
    </row>
    <row r="3" spans="1:3" x14ac:dyDescent="0.3">
      <c r="A3" s="11"/>
      <c r="B3" s="11"/>
      <c r="C3" s="11"/>
    </row>
    <row r="4" spans="1:3" ht="15.45" customHeight="1" x14ac:dyDescent="0.3">
      <c r="A4" s="63" t="s">
        <v>16</v>
      </c>
      <c r="B4" s="64"/>
      <c r="C4" s="64"/>
    </row>
    <row r="5" spans="1:3" ht="90" customHeight="1" x14ac:dyDescent="0.3">
      <c r="A5" s="12" t="s">
        <v>17</v>
      </c>
      <c r="B5" s="59" t="s">
        <v>687</v>
      </c>
      <c r="C5" s="60"/>
    </row>
    <row r="6" spans="1:3" ht="79.95" customHeight="1" x14ac:dyDescent="0.3">
      <c r="A6" s="12" t="s">
        <v>18</v>
      </c>
      <c r="B6" s="59" t="s">
        <v>19</v>
      </c>
      <c r="C6" s="60"/>
    </row>
    <row r="7" spans="1:3" ht="108" customHeight="1" x14ac:dyDescent="0.3">
      <c r="A7" s="12" t="s">
        <v>20</v>
      </c>
      <c r="B7" s="59" t="s">
        <v>686</v>
      </c>
      <c r="C7" s="60"/>
    </row>
    <row r="8" spans="1:3" ht="15.45" customHeight="1" x14ac:dyDescent="0.3">
      <c r="A8" s="63" t="s">
        <v>21</v>
      </c>
      <c r="B8" s="64"/>
      <c r="C8" s="64"/>
    </row>
    <row r="9" spans="1:3" ht="108" customHeight="1" x14ac:dyDescent="0.3">
      <c r="A9" s="12" t="s">
        <v>22</v>
      </c>
      <c r="B9" s="59" t="s">
        <v>23</v>
      </c>
      <c r="C9" s="60"/>
    </row>
    <row r="10" spans="1:3" ht="108" customHeight="1" x14ac:dyDescent="0.3">
      <c r="A10" s="12" t="s">
        <v>24</v>
      </c>
      <c r="B10" s="59" t="s">
        <v>25</v>
      </c>
      <c r="C10" s="60"/>
    </row>
    <row r="11" spans="1:3" ht="15.45" customHeight="1" x14ac:dyDescent="0.3">
      <c r="A11" s="63" t="s">
        <v>26</v>
      </c>
      <c r="B11" s="64"/>
      <c r="C11" s="64"/>
    </row>
    <row r="12" spans="1:3" ht="90" customHeight="1" x14ac:dyDescent="0.3">
      <c r="A12" s="12" t="s">
        <v>27</v>
      </c>
      <c r="B12" s="59" t="s">
        <v>28</v>
      </c>
      <c r="C12" s="60"/>
    </row>
    <row r="13" spans="1:3" ht="108" customHeight="1" x14ac:dyDescent="0.3">
      <c r="A13" s="12" t="s">
        <v>29</v>
      </c>
      <c r="B13" s="59" t="s">
        <v>30</v>
      </c>
      <c r="C13" s="60"/>
    </row>
    <row r="14" spans="1:3" ht="15.45" customHeight="1" x14ac:dyDescent="0.3">
      <c r="A14" s="63" t="s">
        <v>31</v>
      </c>
      <c r="B14" s="64"/>
      <c r="C14" s="64"/>
    </row>
    <row r="15" spans="1:3" ht="108" customHeight="1" x14ac:dyDescent="0.3">
      <c r="A15" s="12" t="s">
        <v>32</v>
      </c>
      <c r="B15" s="59" t="s">
        <v>33</v>
      </c>
      <c r="C15" s="60"/>
    </row>
    <row r="16" spans="1:3" ht="90" customHeight="1" x14ac:dyDescent="0.3">
      <c r="A16" s="12" t="s">
        <v>34</v>
      </c>
      <c r="B16" s="59" t="s">
        <v>35</v>
      </c>
      <c r="C16" s="60"/>
    </row>
    <row r="17" spans="1:3" ht="15.6" x14ac:dyDescent="0.3">
      <c r="A17" s="63" t="s">
        <v>36</v>
      </c>
      <c r="B17" s="64"/>
      <c r="C17" s="64"/>
    </row>
    <row r="18" spans="1:3" ht="108" customHeight="1" x14ac:dyDescent="0.3">
      <c r="A18" s="12" t="s">
        <v>37</v>
      </c>
      <c r="B18" s="59" t="s">
        <v>38</v>
      </c>
      <c r="C18" s="60"/>
    </row>
  </sheetData>
  <mergeCells count="16">
    <mergeCell ref="B16:C16"/>
    <mergeCell ref="A17:C17"/>
    <mergeCell ref="B18:C18"/>
    <mergeCell ref="B10:C10"/>
    <mergeCell ref="A11:C11"/>
    <mergeCell ref="B12:C12"/>
    <mergeCell ref="B13:C13"/>
    <mergeCell ref="A14:C14"/>
    <mergeCell ref="B15:C15"/>
    <mergeCell ref="B9:C9"/>
    <mergeCell ref="A2:C2"/>
    <mergeCell ref="A4:C4"/>
    <mergeCell ref="B5:C5"/>
    <mergeCell ref="B6:C6"/>
    <mergeCell ref="B7:C7"/>
    <mergeCell ref="A8:C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1"/>
  <sheetViews>
    <sheetView topLeftCell="B1" workbookViewId="0">
      <selection activeCell="A2" sqref="A2:A31"/>
    </sheetView>
  </sheetViews>
  <sheetFormatPr defaultRowHeight="14.4" x14ac:dyDescent="0.3"/>
  <cols>
    <col min="1" max="1" width="14" customWidth="1"/>
    <col min="2" max="2" width="12" customWidth="1"/>
    <col min="3" max="3" width="17" customWidth="1"/>
    <col min="4" max="4" width="8" customWidth="1"/>
    <col min="5" max="6" width="13" customWidth="1"/>
    <col min="7" max="7" width="15" customWidth="1"/>
    <col min="8" max="8" width="21" customWidth="1"/>
    <col min="9" max="9" width="13" customWidth="1"/>
    <col min="10" max="11" width="16" customWidth="1"/>
    <col min="12" max="12" width="21" customWidth="1"/>
    <col min="13" max="13" width="23" customWidth="1"/>
    <col min="14" max="14" width="25" customWidth="1"/>
    <col min="15" max="15" width="17" customWidth="1"/>
  </cols>
  <sheetData>
    <row r="1" spans="1:15" ht="15.6" x14ac:dyDescent="0.3">
      <c r="A1" s="4" t="s">
        <v>39</v>
      </c>
      <c r="B1" s="4" t="s">
        <v>40</v>
      </c>
      <c r="C1" s="4" t="s">
        <v>41</v>
      </c>
      <c r="D1" s="4" t="s">
        <v>42</v>
      </c>
      <c r="E1" s="4" t="s">
        <v>43</v>
      </c>
      <c r="F1" s="4" t="s">
        <v>44</v>
      </c>
      <c r="G1" s="4" t="s">
        <v>45</v>
      </c>
      <c r="H1" s="4" t="s">
        <v>46</v>
      </c>
      <c r="I1" s="4" t="s">
        <v>47</v>
      </c>
      <c r="J1" s="4" t="s">
        <v>48</v>
      </c>
      <c r="K1" s="4" t="s">
        <v>49</v>
      </c>
      <c r="L1" s="4" t="s">
        <v>50</v>
      </c>
      <c r="M1" s="4" t="s">
        <v>51</v>
      </c>
      <c r="N1" s="4" t="s">
        <v>52</v>
      </c>
      <c r="O1" s="4" t="s">
        <v>53</v>
      </c>
    </row>
    <row r="2" spans="1:15" x14ac:dyDescent="0.3">
      <c r="A2" s="5" t="s">
        <v>54</v>
      </c>
      <c r="B2" s="5" t="s">
        <v>55</v>
      </c>
      <c r="C2" s="5" t="s">
        <v>56</v>
      </c>
      <c r="D2" s="5">
        <v>2021</v>
      </c>
      <c r="E2" s="5" t="s">
        <v>57</v>
      </c>
      <c r="F2" s="5" t="s">
        <v>58</v>
      </c>
      <c r="G2" s="6">
        <v>45000</v>
      </c>
      <c r="H2" s="5" t="s">
        <v>59</v>
      </c>
      <c r="I2" s="5" t="s">
        <v>60</v>
      </c>
      <c r="J2" s="5" t="s">
        <v>61</v>
      </c>
      <c r="K2" s="5">
        <v>15.5</v>
      </c>
      <c r="L2" s="5" t="s">
        <v>62</v>
      </c>
      <c r="M2" s="7">
        <v>12500</v>
      </c>
      <c r="N2" s="7">
        <v>850</v>
      </c>
      <c r="O2" s="5">
        <v>4.2</v>
      </c>
    </row>
    <row r="3" spans="1:15" x14ac:dyDescent="0.3">
      <c r="A3" s="8" t="s">
        <v>63</v>
      </c>
      <c r="B3" s="8" t="s">
        <v>64</v>
      </c>
      <c r="C3" s="8" t="s">
        <v>65</v>
      </c>
      <c r="D3" s="8">
        <v>2022</v>
      </c>
      <c r="E3" s="8" t="s">
        <v>66</v>
      </c>
      <c r="F3" s="8" t="s">
        <v>67</v>
      </c>
      <c r="G3" s="9">
        <v>32000</v>
      </c>
      <c r="H3" s="8" t="s">
        <v>59</v>
      </c>
      <c r="I3" s="8" t="s">
        <v>68</v>
      </c>
      <c r="J3" s="8" t="s">
        <v>61</v>
      </c>
      <c r="K3" s="8">
        <v>14.2</v>
      </c>
      <c r="L3" s="8" t="s">
        <v>69</v>
      </c>
      <c r="M3" s="10">
        <v>9800</v>
      </c>
      <c r="N3" s="10">
        <v>920</v>
      </c>
      <c r="O3" s="8">
        <v>4.5</v>
      </c>
    </row>
    <row r="4" spans="1:15" x14ac:dyDescent="0.3">
      <c r="A4" s="5" t="s">
        <v>70</v>
      </c>
      <c r="B4" s="5" t="s">
        <v>71</v>
      </c>
      <c r="C4" s="5" t="s">
        <v>72</v>
      </c>
      <c r="D4" s="5">
        <v>2020</v>
      </c>
      <c r="E4" s="5" t="s">
        <v>57</v>
      </c>
      <c r="F4" s="5" t="s">
        <v>73</v>
      </c>
      <c r="G4" s="6">
        <v>68000</v>
      </c>
      <c r="H4" s="5" t="s">
        <v>59</v>
      </c>
      <c r="I4" s="5" t="s">
        <v>74</v>
      </c>
      <c r="J4" s="5" t="s">
        <v>75</v>
      </c>
      <c r="K4" s="5">
        <v>22.1</v>
      </c>
      <c r="L4" s="5" t="s">
        <v>76</v>
      </c>
      <c r="M4" s="7">
        <v>15200</v>
      </c>
      <c r="N4" s="7">
        <v>680</v>
      </c>
      <c r="O4" s="5">
        <v>3.8</v>
      </c>
    </row>
    <row r="5" spans="1:15" x14ac:dyDescent="0.3">
      <c r="A5" s="8" t="s">
        <v>77</v>
      </c>
      <c r="B5" s="8" t="s">
        <v>78</v>
      </c>
      <c r="C5" s="8" t="s">
        <v>79</v>
      </c>
      <c r="D5" s="8">
        <v>2023</v>
      </c>
      <c r="E5" s="8" t="s">
        <v>66</v>
      </c>
      <c r="F5" s="8" t="s">
        <v>80</v>
      </c>
      <c r="G5" s="9">
        <v>15000</v>
      </c>
      <c r="H5" s="8" t="s">
        <v>59</v>
      </c>
      <c r="I5" s="8" t="s">
        <v>81</v>
      </c>
      <c r="J5" s="8" t="s">
        <v>82</v>
      </c>
      <c r="K5" s="8">
        <v>0</v>
      </c>
      <c r="L5" s="8" t="s">
        <v>83</v>
      </c>
      <c r="M5" s="10">
        <v>7500</v>
      </c>
      <c r="N5" s="10">
        <v>1100</v>
      </c>
      <c r="O5" s="8">
        <v>4.7</v>
      </c>
    </row>
    <row r="6" spans="1:15" x14ac:dyDescent="0.3">
      <c r="A6" s="5" t="s">
        <v>84</v>
      </c>
      <c r="B6" s="5" t="s">
        <v>85</v>
      </c>
      <c r="C6" s="5" t="s">
        <v>86</v>
      </c>
      <c r="D6" s="5">
        <v>2022</v>
      </c>
      <c r="E6" s="5" t="s">
        <v>66</v>
      </c>
      <c r="F6" s="5" t="s">
        <v>67</v>
      </c>
      <c r="G6" s="6">
        <v>41000</v>
      </c>
      <c r="H6" s="5" t="s">
        <v>87</v>
      </c>
      <c r="I6" s="5" t="s">
        <v>88</v>
      </c>
      <c r="J6" s="5" t="s">
        <v>61</v>
      </c>
      <c r="K6" s="5">
        <v>13.8</v>
      </c>
      <c r="L6" s="5" t="s">
        <v>89</v>
      </c>
      <c r="M6" s="7">
        <v>11200</v>
      </c>
      <c r="N6" s="7">
        <v>1050</v>
      </c>
      <c r="O6" s="5">
        <v>4.0999999999999996</v>
      </c>
    </row>
    <row r="7" spans="1:15" x14ac:dyDescent="0.3">
      <c r="A7" s="8" t="s">
        <v>90</v>
      </c>
      <c r="B7" s="8" t="s">
        <v>91</v>
      </c>
      <c r="C7" s="8" t="s">
        <v>47</v>
      </c>
      <c r="D7" s="8">
        <v>2021</v>
      </c>
      <c r="E7" s="8" t="s">
        <v>57</v>
      </c>
      <c r="F7" s="8" t="s">
        <v>58</v>
      </c>
      <c r="G7" s="9">
        <v>52000</v>
      </c>
      <c r="H7" s="8" t="s">
        <v>59</v>
      </c>
      <c r="I7" s="8" t="s">
        <v>92</v>
      </c>
      <c r="J7" s="8" t="s">
        <v>75</v>
      </c>
      <c r="K7" s="8">
        <v>16.3</v>
      </c>
      <c r="L7" s="8" t="s">
        <v>93</v>
      </c>
      <c r="M7" s="10">
        <v>13800</v>
      </c>
      <c r="N7" s="10">
        <v>780</v>
      </c>
      <c r="O7" s="8">
        <v>3.9</v>
      </c>
    </row>
    <row r="8" spans="1:15" x14ac:dyDescent="0.3">
      <c r="A8" s="5" t="s">
        <v>94</v>
      </c>
      <c r="B8" s="5" t="s">
        <v>95</v>
      </c>
      <c r="C8" s="5" t="s">
        <v>96</v>
      </c>
      <c r="D8" s="5">
        <v>2023</v>
      </c>
      <c r="E8" s="5" t="s">
        <v>66</v>
      </c>
      <c r="F8" s="5" t="s">
        <v>58</v>
      </c>
      <c r="G8" s="6">
        <v>18000</v>
      </c>
      <c r="H8" s="5" t="s">
        <v>59</v>
      </c>
      <c r="I8" s="5" t="s">
        <v>60</v>
      </c>
      <c r="J8" s="5" t="s">
        <v>61</v>
      </c>
      <c r="K8" s="5">
        <v>14.8</v>
      </c>
      <c r="L8" s="5" t="s">
        <v>97</v>
      </c>
      <c r="M8" s="7">
        <v>6200</v>
      </c>
      <c r="N8" s="7">
        <v>980</v>
      </c>
      <c r="O8" s="5">
        <v>4.5999999999999996</v>
      </c>
    </row>
    <row r="9" spans="1:15" x14ac:dyDescent="0.3">
      <c r="A9" s="8" t="s">
        <v>98</v>
      </c>
      <c r="B9" s="8" t="s">
        <v>99</v>
      </c>
      <c r="C9" s="8" t="s">
        <v>100</v>
      </c>
      <c r="D9" s="8">
        <v>2022</v>
      </c>
      <c r="E9" s="8" t="s">
        <v>66</v>
      </c>
      <c r="F9" s="8" t="s">
        <v>80</v>
      </c>
      <c r="G9" s="9">
        <v>28000</v>
      </c>
      <c r="H9" s="8" t="s">
        <v>59</v>
      </c>
      <c r="I9" s="8" t="s">
        <v>68</v>
      </c>
      <c r="J9" s="8" t="s">
        <v>82</v>
      </c>
      <c r="K9" s="8">
        <v>0</v>
      </c>
      <c r="L9" s="8" t="s">
        <v>101</v>
      </c>
      <c r="M9" s="10">
        <v>8900</v>
      </c>
      <c r="N9" s="10">
        <v>1200</v>
      </c>
      <c r="O9" s="8">
        <v>4.3</v>
      </c>
    </row>
    <row r="10" spans="1:15" x14ac:dyDescent="0.3">
      <c r="A10" s="5" t="s">
        <v>102</v>
      </c>
      <c r="B10" s="5" t="s">
        <v>71</v>
      </c>
      <c r="C10" s="5" t="s">
        <v>103</v>
      </c>
      <c r="D10" s="5">
        <v>2020</v>
      </c>
      <c r="E10" s="5" t="s">
        <v>104</v>
      </c>
      <c r="F10" s="5" t="s">
        <v>73</v>
      </c>
      <c r="G10" s="6">
        <v>75000</v>
      </c>
      <c r="H10" s="5" t="s">
        <v>59</v>
      </c>
      <c r="I10" s="5" t="s">
        <v>74</v>
      </c>
      <c r="J10" s="5" t="s">
        <v>105</v>
      </c>
      <c r="K10" s="5">
        <v>19.5</v>
      </c>
      <c r="L10" s="5" t="s">
        <v>106</v>
      </c>
      <c r="M10" s="7">
        <v>16800</v>
      </c>
      <c r="N10" s="7">
        <v>720</v>
      </c>
      <c r="O10" s="5">
        <v>3.7</v>
      </c>
    </row>
    <row r="11" spans="1:15" x14ac:dyDescent="0.3">
      <c r="A11" s="8" t="s">
        <v>107</v>
      </c>
      <c r="B11" s="8" t="s">
        <v>55</v>
      </c>
      <c r="C11" s="8" t="s">
        <v>108</v>
      </c>
      <c r="D11" s="8">
        <v>2021</v>
      </c>
      <c r="E11" s="8" t="s">
        <v>104</v>
      </c>
      <c r="F11" s="8" t="s">
        <v>67</v>
      </c>
      <c r="G11" s="9">
        <v>58000</v>
      </c>
      <c r="H11" s="8" t="s">
        <v>59</v>
      </c>
      <c r="I11" s="8" t="s">
        <v>81</v>
      </c>
      <c r="J11" s="8" t="s">
        <v>105</v>
      </c>
      <c r="K11" s="8">
        <v>12.1</v>
      </c>
      <c r="L11" s="8" t="s">
        <v>109</v>
      </c>
      <c r="M11" s="10">
        <v>14500</v>
      </c>
      <c r="N11" s="10">
        <v>1350</v>
      </c>
      <c r="O11" s="8">
        <v>4.4000000000000004</v>
      </c>
    </row>
    <row r="12" spans="1:15" x14ac:dyDescent="0.3">
      <c r="A12" s="5" t="s">
        <v>110</v>
      </c>
      <c r="B12" s="5" t="s">
        <v>64</v>
      </c>
      <c r="C12" s="5" t="s">
        <v>111</v>
      </c>
      <c r="D12" s="5">
        <v>2022</v>
      </c>
      <c r="E12" s="5" t="s">
        <v>57</v>
      </c>
      <c r="F12" s="5" t="s">
        <v>73</v>
      </c>
      <c r="G12" s="6">
        <v>35000</v>
      </c>
      <c r="H12" s="5" t="s">
        <v>59</v>
      </c>
      <c r="I12" s="5" t="s">
        <v>88</v>
      </c>
      <c r="J12" s="5" t="s">
        <v>75</v>
      </c>
      <c r="K12" s="5">
        <v>24.5</v>
      </c>
      <c r="L12" s="5" t="s">
        <v>112</v>
      </c>
      <c r="M12" s="7">
        <v>10200</v>
      </c>
      <c r="N12" s="7">
        <v>620</v>
      </c>
      <c r="O12" s="5">
        <v>4</v>
      </c>
    </row>
    <row r="13" spans="1:15" x14ac:dyDescent="0.3">
      <c r="A13" s="8" t="s">
        <v>113</v>
      </c>
      <c r="B13" s="8" t="s">
        <v>78</v>
      </c>
      <c r="C13" s="8" t="s">
        <v>114</v>
      </c>
      <c r="D13" s="8">
        <v>2023</v>
      </c>
      <c r="E13" s="8" t="s">
        <v>57</v>
      </c>
      <c r="F13" s="8" t="s">
        <v>80</v>
      </c>
      <c r="G13" s="9">
        <v>12000</v>
      </c>
      <c r="H13" s="8" t="s">
        <v>59</v>
      </c>
      <c r="I13" s="8" t="s">
        <v>92</v>
      </c>
      <c r="J13" s="8" t="s">
        <v>82</v>
      </c>
      <c r="K13" s="8">
        <v>0</v>
      </c>
      <c r="L13" s="8" t="s">
        <v>115</v>
      </c>
      <c r="M13" s="10">
        <v>5800</v>
      </c>
      <c r="N13" s="10">
        <v>950</v>
      </c>
      <c r="O13" s="8">
        <v>4.8</v>
      </c>
    </row>
    <row r="14" spans="1:15" x14ac:dyDescent="0.3">
      <c r="A14" s="5" t="s">
        <v>116</v>
      </c>
      <c r="B14" s="5" t="s">
        <v>85</v>
      </c>
      <c r="C14" s="5" t="s">
        <v>117</v>
      </c>
      <c r="D14" s="5">
        <v>2019</v>
      </c>
      <c r="E14" s="5" t="s">
        <v>66</v>
      </c>
      <c r="F14" s="5" t="s">
        <v>67</v>
      </c>
      <c r="G14" s="6">
        <v>89000</v>
      </c>
      <c r="H14" s="5" t="s">
        <v>87</v>
      </c>
      <c r="I14" s="5" t="s">
        <v>60</v>
      </c>
      <c r="J14" s="5" t="s">
        <v>61</v>
      </c>
      <c r="K14" s="5">
        <v>11.5</v>
      </c>
      <c r="L14" s="5" t="s">
        <v>118</v>
      </c>
      <c r="M14" s="7">
        <v>18500</v>
      </c>
      <c r="N14" s="7">
        <v>1150</v>
      </c>
      <c r="O14" s="5">
        <v>3.5</v>
      </c>
    </row>
    <row r="15" spans="1:15" x14ac:dyDescent="0.3">
      <c r="A15" s="8" t="s">
        <v>119</v>
      </c>
      <c r="B15" s="8" t="s">
        <v>91</v>
      </c>
      <c r="C15" s="8" t="s">
        <v>120</v>
      </c>
      <c r="D15" s="8">
        <v>2021</v>
      </c>
      <c r="E15" s="8" t="s">
        <v>57</v>
      </c>
      <c r="F15" s="8" t="s">
        <v>58</v>
      </c>
      <c r="G15" s="9">
        <v>47000</v>
      </c>
      <c r="H15" s="8" t="s">
        <v>59</v>
      </c>
      <c r="I15" s="8" t="s">
        <v>68</v>
      </c>
      <c r="J15" s="8" t="s">
        <v>75</v>
      </c>
      <c r="K15" s="8">
        <v>18.2</v>
      </c>
      <c r="L15" s="8" t="s">
        <v>121</v>
      </c>
      <c r="M15" s="10">
        <v>12800</v>
      </c>
      <c r="N15" s="10">
        <v>710</v>
      </c>
      <c r="O15" s="8">
        <v>4.0999999999999996</v>
      </c>
    </row>
    <row r="16" spans="1:15" x14ac:dyDescent="0.3">
      <c r="A16" s="5" t="s">
        <v>122</v>
      </c>
      <c r="B16" s="5" t="s">
        <v>95</v>
      </c>
      <c r="C16" s="5" t="s">
        <v>123</v>
      </c>
      <c r="D16" s="5">
        <v>2022</v>
      </c>
      <c r="E16" s="5" t="s">
        <v>104</v>
      </c>
      <c r="F16" s="5" t="s">
        <v>67</v>
      </c>
      <c r="G16" s="6">
        <v>30000</v>
      </c>
      <c r="H16" s="5" t="s">
        <v>59</v>
      </c>
      <c r="I16" s="5" t="s">
        <v>74</v>
      </c>
      <c r="J16" s="5" t="s">
        <v>105</v>
      </c>
      <c r="K16" s="5">
        <v>10.8</v>
      </c>
      <c r="L16" s="5" t="s">
        <v>124</v>
      </c>
      <c r="M16" s="7">
        <v>8500</v>
      </c>
      <c r="N16" s="7">
        <v>1580</v>
      </c>
      <c r="O16" s="5">
        <v>4.5999999999999996</v>
      </c>
    </row>
    <row r="17" spans="1:15" x14ac:dyDescent="0.3">
      <c r="A17" s="8" t="s">
        <v>125</v>
      </c>
      <c r="B17" s="8" t="s">
        <v>78</v>
      </c>
      <c r="C17" s="8" t="s">
        <v>126</v>
      </c>
      <c r="D17" s="8">
        <v>2023</v>
      </c>
      <c r="E17" s="8" t="s">
        <v>66</v>
      </c>
      <c r="F17" s="8" t="s">
        <v>58</v>
      </c>
      <c r="G17" s="9">
        <v>8000</v>
      </c>
      <c r="H17" s="8" t="s">
        <v>59</v>
      </c>
      <c r="I17" s="8" t="s">
        <v>81</v>
      </c>
      <c r="J17" s="8" t="s">
        <v>82</v>
      </c>
      <c r="K17" s="8">
        <v>17.8</v>
      </c>
      <c r="L17" s="8" t="s">
        <v>127</v>
      </c>
      <c r="M17" s="10">
        <v>3200</v>
      </c>
      <c r="N17" s="10">
        <v>750</v>
      </c>
      <c r="O17" s="8">
        <v>4.9000000000000004</v>
      </c>
    </row>
    <row r="18" spans="1:15" x14ac:dyDescent="0.3">
      <c r="A18" s="5" t="s">
        <v>128</v>
      </c>
      <c r="B18" s="5" t="s">
        <v>71</v>
      </c>
      <c r="C18" s="5" t="s">
        <v>129</v>
      </c>
      <c r="D18" s="5">
        <v>2020</v>
      </c>
      <c r="E18" s="5" t="s">
        <v>57</v>
      </c>
      <c r="F18" s="5" t="s">
        <v>58</v>
      </c>
      <c r="G18" s="6">
        <v>62000</v>
      </c>
      <c r="H18" s="5" t="s">
        <v>130</v>
      </c>
      <c r="I18" s="5" t="s">
        <v>88</v>
      </c>
      <c r="J18" s="5" t="s">
        <v>61</v>
      </c>
      <c r="K18" s="5">
        <v>17.2</v>
      </c>
      <c r="L18" s="5" t="s">
        <v>131</v>
      </c>
      <c r="M18" s="7">
        <v>14200</v>
      </c>
      <c r="N18" s="7">
        <v>800</v>
      </c>
      <c r="O18" s="5">
        <v>3.6</v>
      </c>
    </row>
    <row r="19" spans="1:15" x14ac:dyDescent="0.3">
      <c r="A19" s="8" t="s">
        <v>132</v>
      </c>
      <c r="B19" s="8" t="s">
        <v>64</v>
      </c>
      <c r="C19" s="8" t="s">
        <v>133</v>
      </c>
      <c r="D19" s="8">
        <v>2022</v>
      </c>
      <c r="E19" s="8" t="s">
        <v>66</v>
      </c>
      <c r="F19" s="8" t="s">
        <v>67</v>
      </c>
      <c r="G19" s="9">
        <v>38000</v>
      </c>
      <c r="H19" s="8" t="s">
        <v>59</v>
      </c>
      <c r="I19" s="8" t="s">
        <v>92</v>
      </c>
      <c r="J19" s="8" t="s">
        <v>75</v>
      </c>
      <c r="K19" s="8">
        <v>15.9</v>
      </c>
      <c r="L19" s="8" t="s">
        <v>134</v>
      </c>
      <c r="M19" s="10">
        <v>10800</v>
      </c>
      <c r="N19" s="10">
        <v>880</v>
      </c>
      <c r="O19" s="8">
        <v>4.2</v>
      </c>
    </row>
    <row r="20" spans="1:15" x14ac:dyDescent="0.3">
      <c r="A20" s="5" t="s">
        <v>135</v>
      </c>
      <c r="B20" s="5" t="s">
        <v>55</v>
      </c>
      <c r="C20" s="5" t="s">
        <v>136</v>
      </c>
      <c r="D20" s="5">
        <v>2021</v>
      </c>
      <c r="E20" s="5" t="s">
        <v>66</v>
      </c>
      <c r="F20" s="5" t="s">
        <v>67</v>
      </c>
      <c r="G20" s="6">
        <v>45000</v>
      </c>
      <c r="H20" s="5" t="s">
        <v>59</v>
      </c>
      <c r="I20" s="5" t="s">
        <v>60</v>
      </c>
      <c r="J20" s="5" t="s">
        <v>61</v>
      </c>
      <c r="K20" s="5">
        <v>10.199999999999999</v>
      </c>
      <c r="L20" s="5" t="s">
        <v>137</v>
      </c>
      <c r="M20" s="7">
        <v>12000</v>
      </c>
      <c r="N20" s="7">
        <v>1800</v>
      </c>
      <c r="O20" s="5">
        <v>4.5</v>
      </c>
    </row>
    <row r="21" spans="1:15" x14ac:dyDescent="0.3">
      <c r="A21" s="8" t="s">
        <v>138</v>
      </c>
      <c r="B21" s="8" t="s">
        <v>99</v>
      </c>
      <c r="C21" s="8" t="s">
        <v>139</v>
      </c>
      <c r="D21" s="8">
        <v>2022</v>
      </c>
      <c r="E21" s="8" t="s">
        <v>66</v>
      </c>
      <c r="F21" s="8" t="s">
        <v>58</v>
      </c>
      <c r="G21" s="9">
        <v>25000</v>
      </c>
      <c r="H21" s="8" t="s">
        <v>59</v>
      </c>
      <c r="I21" s="8" t="s">
        <v>68</v>
      </c>
      <c r="J21" s="8" t="s">
        <v>61</v>
      </c>
      <c r="K21" s="8">
        <v>13.5</v>
      </c>
      <c r="L21" s="8" t="s">
        <v>140</v>
      </c>
      <c r="M21" s="10">
        <v>7800</v>
      </c>
      <c r="N21" s="10">
        <v>1020</v>
      </c>
      <c r="O21" s="8">
        <v>4.3</v>
      </c>
    </row>
    <row r="22" spans="1:15" x14ac:dyDescent="0.3">
      <c r="A22" s="5" t="s">
        <v>141</v>
      </c>
      <c r="B22" s="5" t="s">
        <v>78</v>
      </c>
      <c r="C22" s="5" t="s">
        <v>142</v>
      </c>
      <c r="D22" s="5">
        <v>2021</v>
      </c>
      <c r="E22" s="5" t="s">
        <v>66</v>
      </c>
      <c r="F22" s="5" t="s">
        <v>58</v>
      </c>
      <c r="G22" s="6">
        <v>42000</v>
      </c>
      <c r="H22" s="5" t="s">
        <v>59</v>
      </c>
      <c r="I22" s="5" t="s">
        <v>74</v>
      </c>
      <c r="J22" s="5" t="s">
        <v>75</v>
      </c>
      <c r="K22" s="5">
        <v>16</v>
      </c>
      <c r="L22" s="5" t="s">
        <v>143</v>
      </c>
      <c r="M22" s="7">
        <v>11500</v>
      </c>
      <c r="N22" s="7">
        <v>850</v>
      </c>
      <c r="O22" s="5">
        <v>4</v>
      </c>
    </row>
    <row r="23" spans="1:15" x14ac:dyDescent="0.3">
      <c r="A23" s="8" t="s">
        <v>144</v>
      </c>
      <c r="B23" s="8" t="s">
        <v>71</v>
      </c>
      <c r="C23" s="8" t="s">
        <v>145</v>
      </c>
      <c r="D23" s="8">
        <v>2023</v>
      </c>
      <c r="E23" s="8" t="s">
        <v>66</v>
      </c>
      <c r="F23" s="8" t="s">
        <v>73</v>
      </c>
      <c r="G23" s="9">
        <v>14000</v>
      </c>
      <c r="H23" s="8" t="s">
        <v>59</v>
      </c>
      <c r="I23" s="8" t="s">
        <v>81</v>
      </c>
      <c r="J23" s="8" t="s">
        <v>75</v>
      </c>
      <c r="K23" s="8">
        <v>20.3</v>
      </c>
      <c r="L23" s="8" t="s">
        <v>146</v>
      </c>
      <c r="M23" s="10">
        <v>5500</v>
      </c>
      <c r="N23" s="10">
        <v>790</v>
      </c>
      <c r="O23" s="8">
        <v>4.7</v>
      </c>
    </row>
    <row r="24" spans="1:15" x14ac:dyDescent="0.3">
      <c r="A24" s="5" t="s">
        <v>147</v>
      </c>
      <c r="B24" s="5" t="s">
        <v>64</v>
      </c>
      <c r="C24" s="5" t="s">
        <v>148</v>
      </c>
      <c r="D24" s="5">
        <v>2020</v>
      </c>
      <c r="E24" s="5" t="s">
        <v>149</v>
      </c>
      <c r="F24" s="5" t="s">
        <v>58</v>
      </c>
      <c r="G24" s="6">
        <v>55000</v>
      </c>
      <c r="H24" s="5" t="s">
        <v>59</v>
      </c>
      <c r="I24" s="5" t="s">
        <v>88</v>
      </c>
      <c r="J24" s="5" t="s">
        <v>82</v>
      </c>
      <c r="K24" s="5">
        <v>18.8</v>
      </c>
      <c r="L24" s="5" t="s">
        <v>150</v>
      </c>
      <c r="M24" s="7">
        <v>13200</v>
      </c>
      <c r="N24" s="7">
        <v>650</v>
      </c>
      <c r="O24" s="5">
        <v>3.8</v>
      </c>
    </row>
    <row r="25" spans="1:15" x14ac:dyDescent="0.3">
      <c r="A25" s="8" t="s">
        <v>151</v>
      </c>
      <c r="B25" s="8" t="s">
        <v>95</v>
      </c>
      <c r="C25" s="8" t="s">
        <v>152</v>
      </c>
      <c r="D25" s="8">
        <v>2022</v>
      </c>
      <c r="E25" s="8" t="s">
        <v>66</v>
      </c>
      <c r="F25" s="8" t="s">
        <v>67</v>
      </c>
      <c r="G25" s="9">
        <v>33000</v>
      </c>
      <c r="H25" s="8" t="s">
        <v>59</v>
      </c>
      <c r="I25" s="8" t="s">
        <v>92</v>
      </c>
      <c r="J25" s="8" t="s">
        <v>75</v>
      </c>
      <c r="K25" s="8">
        <v>15.1</v>
      </c>
      <c r="L25" s="8" t="s">
        <v>153</v>
      </c>
      <c r="M25" s="10">
        <v>9500</v>
      </c>
      <c r="N25" s="10">
        <v>870</v>
      </c>
      <c r="O25" s="8">
        <v>4.4000000000000004</v>
      </c>
    </row>
    <row r="26" spans="1:15" x14ac:dyDescent="0.3">
      <c r="A26" s="5" t="s">
        <v>154</v>
      </c>
      <c r="B26" s="5" t="s">
        <v>78</v>
      </c>
      <c r="C26" s="5" t="s">
        <v>155</v>
      </c>
      <c r="D26" s="5">
        <v>2021</v>
      </c>
      <c r="E26" s="5" t="s">
        <v>149</v>
      </c>
      <c r="F26" s="5" t="s">
        <v>58</v>
      </c>
      <c r="G26" s="6">
        <v>48000</v>
      </c>
      <c r="H26" s="5" t="s">
        <v>87</v>
      </c>
      <c r="I26" s="5" t="s">
        <v>60</v>
      </c>
      <c r="J26" s="5" t="s">
        <v>82</v>
      </c>
      <c r="K26" s="5">
        <v>19.2</v>
      </c>
      <c r="L26" s="5" t="s">
        <v>156</v>
      </c>
      <c r="M26" s="7">
        <v>12200</v>
      </c>
      <c r="N26" s="7">
        <v>680</v>
      </c>
      <c r="O26" s="5">
        <v>3.9</v>
      </c>
    </row>
    <row r="27" spans="1:15" x14ac:dyDescent="0.3">
      <c r="A27" s="8" t="s">
        <v>157</v>
      </c>
      <c r="B27" s="8" t="s">
        <v>158</v>
      </c>
      <c r="C27" s="8" t="s">
        <v>159</v>
      </c>
      <c r="D27" s="8">
        <v>2023</v>
      </c>
      <c r="E27" s="8" t="s">
        <v>104</v>
      </c>
      <c r="F27" s="8" t="s">
        <v>80</v>
      </c>
      <c r="G27" s="9">
        <v>20000</v>
      </c>
      <c r="H27" s="8" t="s">
        <v>59</v>
      </c>
      <c r="I27" s="8" t="s">
        <v>68</v>
      </c>
      <c r="J27" s="8" t="s">
        <v>105</v>
      </c>
      <c r="K27" s="8">
        <v>0</v>
      </c>
      <c r="L27" s="8" t="s">
        <v>160</v>
      </c>
      <c r="M27" s="10">
        <v>7200</v>
      </c>
      <c r="N27" s="10">
        <v>1450</v>
      </c>
      <c r="O27" s="8">
        <v>4.5999999999999996</v>
      </c>
    </row>
    <row r="28" spans="1:15" x14ac:dyDescent="0.3">
      <c r="A28" s="5" t="s">
        <v>161</v>
      </c>
      <c r="B28" s="5" t="s">
        <v>85</v>
      </c>
      <c r="C28" s="5" t="s">
        <v>162</v>
      </c>
      <c r="D28" s="5">
        <v>2019</v>
      </c>
      <c r="E28" s="5" t="s">
        <v>66</v>
      </c>
      <c r="F28" s="5" t="s">
        <v>67</v>
      </c>
      <c r="G28" s="6">
        <v>95000</v>
      </c>
      <c r="H28" s="5" t="s">
        <v>59</v>
      </c>
      <c r="I28" s="5" t="s">
        <v>74</v>
      </c>
      <c r="J28" s="5" t="s">
        <v>82</v>
      </c>
      <c r="K28" s="5">
        <v>10.5</v>
      </c>
      <c r="L28" s="5" t="s">
        <v>163</v>
      </c>
      <c r="M28" s="7">
        <v>19800</v>
      </c>
      <c r="N28" s="7">
        <v>780</v>
      </c>
      <c r="O28" s="5">
        <v>3.4</v>
      </c>
    </row>
    <row r="29" spans="1:15" x14ac:dyDescent="0.3">
      <c r="A29" s="8" t="s">
        <v>164</v>
      </c>
      <c r="B29" s="8" t="s">
        <v>71</v>
      </c>
      <c r="C29" s="8" t="s">
        <v>165</v>
      </c>
      <c r="D29" s="8">
        <v>2022</v>
      </c>
      <c r="E29" s="8" t="s">
        <v>149</v>
      </c>
      <c r="F29" s="8" t="s">
        <v>73</v>
      </c>
      <c r="G29" s="9">
        <v>28000</v>
      </c>
      <c r="H29" s="8" t="s">
        <v>59</v>
      </c>
      <c r="I29" s="8" t="s">
        <v>81</v>
      </c>
      <c r="J29" s="8" t="s">
        <v>75</v>
      </c>
      <c r="K29" s="8">
        <v>26.8</v>
      </c>
      <c r="L29" s="8" t="s">
        <v>166</v>
      </c>
      <c r="M29" s="10">
        <v>8200</v>
      </c>
      <c r="N29" s="10">
        <v>550</v>
      </c>
      <c r="O29" s="8">
        <v>4.2</v>
      </c>
    </row>
    <row r="30" spans="1:15" x14ac:dyDescent="0.3">
      <c r="A30" s="5" t="s">
        <v>167</v>
      </c>
      <c r="B30" s="5" t="s">
        <v>91</v>
      </c>
      <c r="C30" s="5" t="s">
        <v>168</v>
      </c>
      <c r="D30" s="5">
        <v>2021</v>
      </c>
      <c r="E30" s="5" t="s">
        <v>66</v>
      </c>
      <c r="F30" s="5" t="s">
        <v>58</v>
      </c>
      <c r="G30" s="6">
        <v>40000</v>
      </c>
      <c r="H30" s="5" t="s">
        <v>130</v>
      </c>
      <c r="I30" s="5" t="s">
        <v>88</v>
      </c>
      <c r="J30" s="5" t="s">
        <v>61</v>
      </c>
      <c r="K30" s="5">
        <v>15.6</v>
      </c>
      <c r="L30" s="5" t="s">
        <v>169</v>
      </c>
      <c r="M30" s="7">
        <v>11000</v>
      </c>
      <c r="N30" s="7">
        <v>820</v>
      </c>
      <c r="O30" s="5">
        <v>3.7</v>
      </c>
    </row>
    <row r="31" spans="1:15" x14ac:dyDescent="0.3">
      <c r="A31" s="8" t="s">
        <v>170</v>
      </c>
      <c r="B31" s="8" t="s">
        <v>55</v>
      </c>
      <c r="C31" s="8" t="s">
        <v>171</v>
      </c>
      <c r="D31" s="8">
        <v>2023</v>
      </c>
      <c r="E31" s="8" t="s">
        <v>149</v>
      </c>
      <c r="F31" s="8" t="s">
        <v>58</v>
      </c>
      <c r="G31" s="9">
        <v>10000</v>
      </c>
      <c r="H31" s="8" t="s">
        <v>59</v>
      </c>
      <c r="I31" s="8" t="s">
        <v>92</v>
      </c>
      <c r="J31" s="8" t="s">
        <v>82</v>
      </c>
      <c r="K31" s="8">
        <v>21.5</v>
      </c>
      <c r="L31" s="8" t="s">
        <v>172</v>
      </c>
      <c r="M31" s="10">
        <v>4200</v>
      </c>
      <c r="N31" s="10">
        <v>700</v>
      </c>
      <c r="O31" s="8">
        <v>4.8</v>
      </c>
    </row>
  </sheetData>
  <autoFilter ref="A1:O31" xr:uid="{00000000-0001-0000-01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1"/>
  <sheetViews>
    <sheetView zoomScale="56" workbookViewId="0">
      <selection activeCell="B103" sqref="B103"/>
    </sheetView>
  </sheetViews>
  <sheetFormatPr defaultRowHeight="14.4" x14ac:dyDescent="0.3"/>
  <cols>
    <col min="1" max="1" width="11" customWidth="1"/>
    <col min="2" max="2" width="14" customWidth="1"/>
    <col min="3" max="3" width="13" customWidth="1"/>
    <col min="4" max="4" width="14" customWidth="1"/>
    <col min="5" max="5" width="13" customWidth="1"/>
    <col min="6" max="6" width="16" customWidth="1"/>
    <col min="7" max="7" width="29.44140625" customWidth="1"/>
    <col min="8" max="8" width="30.33203125" customWidth="1"/>
    <col min="9" max="9" width="17" customWidth="1"/>
    <col min="10" max="10" width="20" customWidth="1"/>
    <col min="11" max="11" width="18" customWidth="1"/>
    <col min="12" max="12" width="21" customWidth="1"/>
    <col min="13" max="13" width="19" customWidth="1"/>
    <col min="14" max="14" width="17" customWidth="1"/>
    <col min="15" max="15" width="13" customWidth="1"/>
    <col min="16" max="16" width="21.5546875" customWidth="1"/>
  </cols>
  <sheetData>
    <row r="1" spans="1:16" ht="15.6" x14ac:dyDescent="0.3">
      <c r="A1" s="4" t="s">
        <v>173</v>
      </c>
      <c r="B1" s="4" t="s">
        <v>39</v>
      </c>
      <c r="C1" s="4" t="s">
        <v>174</v>
      </c>
      <c r="D1" s="4" t="s">
        <v>175</v>
      </c>
      <c r="E1" s="4" t="s">
        <v>47</v>
      </c>
      <c r="F1" s="4" t="s">
        <v>48</v>
      </c>
      <c r="G1" s="4" t="s">
        <v>176</v>
      </c>
      <c r="H1" s="4" t="s">
        <v>177</v>
      </c>
      <c r="I1" s="4" t="s">
        <v>178</v>
      </c>
      <c r="J1" s="4" t="s">
        <v>179</v>
      </c>
      <c r="K1" s="4" t="s">
        <v>180</v>
      </c>
      <c r="L1" s="4" t="s">
        <v>181</v>
      </c>
      <c r="M1" s="4" t="s">
        <v>182</v>
      </c>
      <c r="N1" s="4" t="s">
        <v>183</v>
      </c>
      <c r="O1" s="4" t="s">
        <v>184</v>
      </c>
      <c r="P1" s="4" t="s">
        <v>712</v>
      </c>
    </row>
    <row r="2" spans="1:16" x14ac:dyDescent="0.3">
      <c r="A2" s="5" t="s">
        <v>185</v>
      </c>
      <c r="B2" s="5" t="s">
        <v>141</v>
      </c>
      <c r="C2" s="5" t="s">
        <v>186</v>
      </c>
      <c r="D2" s="5" t="s">
        <v>187</v>
      </c>
      <c r="E2" s="5" t="s">
        <v>74</v>
      </c>
      <c r="F2" s="5" t="s">
        <v>75</v>
      </c>
      <c r="G2" s="5">
        <v>16.100000000000001</v>
      </c>
      <c r="H2" s="5">
        <v>79</v>
      </c>
      <c r="I2" s="5">
        <v>322.44</v>
      </c>
      <c r="J2" s="5">
        <v>1</v>
      </c>
      <c r="K2" s="5">
        <v>322.44</v>
      </c>
      <c r="L2" s="5" t="s">
        <v>188</v>
      </c>
      <c r="M2" s="5">
        <v>2.6</v>
      </c>
      <c r="N2" s="5">
        <v>3.2</v>
      </c>
      <c r="O2" s="5" t="s">
        <v>189</v>
      </c>
      <c r="P2" s="5" t="str">
        <f>IF(H2&lt;(G2/60),"Impossible Speed","OK")</f>
        <v>OK</v>
      </c>
    </row>
    <row r="3" spans="1:16" x14ac:dyDescent="0.3">
      <c r="A3" s="8" t="s">
        <v>190</v>
      </c>
      <c r="B3" s="8" t="s">
        <v>98</v>
      </c>
      <c r="C3" s="8" t="s">
        <v>191</v>
      </c>
      <c r="D3" s="8" t="s">
        <v>134</v>
      </c>
      <c r="E3" s="8" t="s">
        <v>68</v>
      </c>
      <c r="F3" s="8" t="s">
        <v>105</v>
      </c>
      <c r="G3" s="8">
        <v>15.9</v>
      </c>
      <c r="H3" s="8">
        <v>76</v>
      </c>
      <c r="I3" s="8">
        <v>178.23</v>
      </c>
      <c r="J3" s="8">
        <v>2</v>
      </c>
      <c r="K3" s="8">
        <v>356.46</v>
      </c>
      <c r="L3" s="8" t="s">
        <v>192</v>
      </c>
      <c r="M3" s="8">
        <v>3.4</v>
      </c>
      <c r="N3" s="8">
        <v>4.7</v>
      </c>
      <c r="O3" s="8" t="s">
        <v>189</v>
      </c>
      <c r="P3" s="8" t="str">
        <f t="shared" ref="P3:P66" si="0">IF(H3&lt;(G3/60),"Impossible Speed","OK")</f>
        <v>OK</v>
      </c>
    </row>
    <row r="4" spans="1:16" x14ac:dyDescent="0.3">
      <c r="A4" s="5" t="s">
        <v>193</v>
      </c>
      <c r="B4" s="5" t="s">
        <v>154</v>
      </c>
      <c r="C4" s="5" t="s">
        <v>194</v>
      </c>
      <c r="D4" s="5" t="s">
        <v>195</v>
      </c>
      <c r="E4" s="5" t="s">
        <v>81</v>
      </c>
      <c r="F4" s="5" t="s">
        <v>61</v>
      </c>
      <c r="G4" s="5">
        <v>24.6</v>
      </c>
      <c r="H4" s="5">
        <v>87</v>
      </c>
      <c r="I4" s="5">
        <v>257.49</v>
      </c>
      <c r="J4" s="5">
        <v>1.2</v>
      </c>
      <c r="K4" s="5">
        <v>308.99</v>
      </c>
      <c r="L4" s="5" t="s">
        <v>188</v>
      </c>
      <c r="M4" s="5">
        <v>4.9000000000000004</v>
      </c>
      <c r="N4" s="5">
        <v>10.1</v>
      </c>
      <c r="O4" s="5" t="s">
        <v>189</v>
      </c>
      <c r="P4" s="5" t="str">
        <f t="shared" si="0"/>
        <v>OK</v>
      </c>
    </row>
    <row r="5" spans="1:16" x14ac:dyDescent="0.3">
      <c r="A5" s="8" t="s">
        <v>196</v>
      </c>
      <c r="B5" s="8" t="s">
        <v>132</v>
      </c>
      <c r="C5" s="8" t="s">
        <v>197</v>
      </c>
      <c r="D5" s="8" t="s">
        <v>198</v>
      </c>
      <c r="E5" s="8" t="s">
        <v>68</v>
      </c>
      <c r="F5" s="8" t="s">
        <v>61</v>
      </c>
      <c r="G5" s="8">
        <v>4.9000000000000004</v>
      </c>
      <c r="H5" s="8">
        <v>24</v>
      </c>
      <c r="I5" s="8">
        <v>93.11</v>
      </c>
      <c r="J5" s="8">
        <v>1</v>
      </c>
      <c r="K5" s="8">
        <v>93.11</v>
      </c>
      <c r="L5" s="8" t="s">
        <v>199</v>
      </c>
      <c r="M5" s="8">
        <v>3.2</v>
      </c>
      <c r="N5" s="8">
        <v>16.3</v>
      </c>
      <c r="O5" s="8" t="s">
        <v>189</v>
      </c>
      <c r="P5" s="8" t="str">
        <f t="shared" si="0"/>
        <v>OK</v>
      </c>
    </row>
    <row r="6" spans="1:16" x14ac:dyDescent="0.3">
      <c r="A6" s="5" t="s">
        <v>200</v>
      </c>
      <c r="B6" s="5" t="s">
        <v>113</v>
      </c>
      <c r="C6" s="5" t="s">
        <v>201</v>
      </c>
      <c r="D6" s="5" t="s">
        <v>140</v>
      </c>
      <c r="E6" s="5" t="s">
        <v>68</v>
      </c>
      <c r="F6" s="5" t="s">
        <v>82</v>
      </c>
      <c r="G6" s="5">
        <v>46.2</v>
      </c>
      <c r="H6" s="5">
        <v>185</v>
      </c>
      <c r="I6" s="5">
        <v>712.96</v>
      </c>
      <c r="J6" s="5">
        <v>1.5</v>
      </c>
      <c r="K6" s="5">
        <v>1069.44</v>
      </c>
      <c r="L6" s="5" t="s">
        <v>192</v>
      </c>
      <c r="M6" s="5">
        <v>3.7</v>
      </c>
      <c r="N6" s="5">
        <v>7.5</v>
      </c>
      <c r="O6" s="5" t="s">
        <v>189</v>
      </c>
      <c r="P6" s="5" t="str">
        <f t="shared" si="0"/>
        <v>OK</v>
      </c>
    </row>
    <row r="7" spans="1:16" x14ac:dyDescent="0.3">
      <c r="A7" s="8" t="s">
        <v>202</v>
      </c>
      <c r="B7" s="8" t="s">
        <v>170</v>
      </c>
      <c r="C7" s="8" t="s">
        <v>203</v>
      </c>
      <c r="D7" s="8" t="s">
        <v>204</v>
      </c>
      <c r="E7" s="8" t="s">
        <v>74</v>
      </c>
      <c r="F7" s="8" t="s">
        <v>61</v>
      </c>
      <c r="G7" s="8">
        <v>16.399999999999999</v>
      </c>
      <c r="H7" s="8">
        <v>52</v>
      </c>
      <c r="I7" s="8">
        <v>225.11</v>
      </c>
      <c r="J7" s="8">
        <v>1</v>
      </c>
      <c r="K7" s="8">
        <v>225.11</v>
      </c>
      <c r="L7" s="8" t="s">
        <v>188</v>
      </c>
      <c r="M7" s="8">
        <v>3</v>
      </c>
      <c r="N7" s="8">
        <v>13</v>
      </c>
      <c r="O7" s="8" t="s">
        <v>189</v>
      </c>
      <c r="P7" s="8" t="str">
        <f t="shared" si="0"/>
        <v>OK</v>
      </c>
    </row>
    <row r="8" spans="1:16" x14ac:dyDescent="0.3">
      <c r="A8" s="5" t="s">
        <v>205</v>
      </c>
      <c r="B8" s="5" t="s">
        <v>167</v>
      </c>
      <c r="C8" s="5" t="s">
        <v>206</v>
      </c>
      <c r="D8" s="5" t="s">
        <v>146</v>
      </c>
      <c r="E8" s="5" t="s">
        <v>74</v>
      </c>
      <c r="F8" s="5" t="s">
        <v>75</v>
      </c>
      <c r="G8" s="5">
        <v>17.5</v>
      </c>
      <c r="H8" s="5">
        <v>72</v>
      </c>
      <c r="I8" s="5">
        <v>292.3</v>
      </c>
      <c r="J8" s="5">
        <v>1.5</v>
      </c>
      <c r="K8" s="5">
        <v>438.45</v>
      </c>
      <c r="L8" s="5" t="s">
        <v>207</v>
      </c>
      <c r="M8" s="5">
        <v>3</v>
      </c>
      <c r="N8" s="5">
        <v>24.9</v>
      </c>
      <c r="O8" s="5" t="s">
        <v>189</v>
      </c>
      <c r="P8" s="5" t="str">
        <f t="shared" si="0"/>
        <v>OK</v>
      </c>
    </row>
    <row r="9" spans="1:16" x14ac:dyDescent="0.3">
      <c r="A9" s="8" t="s">
        <v>208</v>
      </c>
      <c r="B9" s="8" t="s">
        <v>128</v>
      </c>
      <c r="C9" s="8" t="s">
        <v>209</v>
      </c>
      <c r="D9" s="8" t="s">
        <v>210</v>
      </c>
      <c r="E9" s="8" t="s">
        <v>60</v>
      </c>
      <c r="F9" s="8" t="s">
        <v>61</v>
      </c>
      <c r="G9" s="8">
        <v>11.6</v>
      </c>
      <c r="H9" s="8">
        <v>48</v>
      </c>
      <c r="I9" s="8">
        <v>211.98</v>
      </c>
      <c r="J9" s="8">
        <v>1.2</v>
      </c>
      <c r="K9" s="8">
        <v>254.38</v>
      </c>
      <c r="L9" s="8" t="s">
        <v>207</v>
      </c>
      <c r="M9" s="8"/>
      <c r="N9" s="8">
        <v>24.9</v>
      </c>
      <c r="O9" s="8" t="s">
        <v>211</v>
      </c>
      <c r="P9" s="8" t="str">
        <f t="shared" si="0"/>
        <v>OK</v>
      </c>
    </row>
    <row r="10" spans="1:16" x14ac:dyDescent="0.3">
      <c r="A10" s="5" t="s">
        <v>212</v>
      </c>
      <c r="B10" s="5" t="s">
        <v>128</v>
      </c>
      <c r="C10" s="5" t="s">
        <v>213</v>
      </c>
      <c r="D10" s="5" t="s">
        <v>166</v>
      </c>
      <c r="E10" s="5" t="s">
        <v>92</v>
      </c>
      <c r="F10" s="5" t="s">
        <v>61</v>
      </c>
      <c r="G10" s="5">
        <v>44.9</v>
      </c>
      <c r="H10" s="5">
        <v>169</v>
      </c>
      <c r="I10" s="5">
        <v>696.99</v>
      </c>
      <c r="J10" s="5">
        <v>1</v>
      </c>
      <c r="K10" s="5">
        <v>696.99</v>
      </c>
      <c r="L10" s="5" t="s">
        <v>214</v>
      </c>
      <c r="M10" s="5">
        <v>2.9</v>
      </c>
      <c r="N10" s="5">
        <v>1.1000000000000001</v>
      </c>
      <c r="O10" s="5" t="s">
        <v>189</v>
      </c>
      <c r="P10" s="5" t="str">
        <f t="shared" si="0"/>
        <v>OK</v>
      </c>
    </row>
    <row r="11" spans="1:16" x14ac:dyDescent="0.3">
      <c r="A11" s="8" t="s">
        <v>215</v>
      </c>
      <c r="B11" s="8" t="s">
        <v>151</v>
      </c>
      <c r="C11" s="8" t="s">
        <v>216</v>
      </c>
      <c r="D11" s="8" t="s">
        <v>217</v>
      </c>
      <c r="E11" s="8" t="s">
        <v>68</v>
      </c>
      <c r="F11" s="8" t="s">
        <v>61</v>
      </c>
      <c r="G11" s="8">
        <v>56.8</v>
      </c>
      <c r="H11" s="8">
        <v>190</v>
      </c>
      <c r="I11" s="8">
        <v>850.3</v>
      </c>
      <c r="J11" s="8">
        <v>1</v>
      </c>
      <c r="K11" s="8">
        <v>850.3</v>
      </c>
      <c r="L11" s="8" t="s">
        <v>214</v>
      </c>
      <c r="M11" s="8">
        <v>3.8</v>
      </c>
      <c r="N11" s="8">
        <v>19.7</v>
      </c>
      <c r="O11" s="8" t="s">
        <v>189</v>
      </c>
      <c r="P11" s="8" t="str">
        <f t="shared" si="0"/>
        <v>OK</v>
      </c>
    </row>
    <row r="12" spans="1:16" x14ac:dyDescent="0.3">
      <c r="A12" s="5" t="s">
        <v>218</v>
      </c>
      <c r="B12" s="5" t="s">
        <v>128</v>
      </c>
      <c r="C12" s="5" t="s">
        <v>219</v>
      </c>
      <c r="D12" s="5" t="s">
        <v>220</v>
      </c>
      <c r="E12" s="5" t="s">
        <v>60</v>
      </c>
      <c r="F12" s="5" t="s">
        <v>61</v>
      </c>
      <c r="G12" s="5">
        <v>60.5</v>
      </c>
      <c r="H12" s="5">
        <v>275</v>
      </c>
      <c r="I12" s="5">
        <v>720.05</v>
      </c>
      <c r="J12" s="5">
        <v>1</v>
      </c>
      <c r="K12" s="5">
        <v>720.05</v>
      </c>
      <c r="L12" s="5" t="s">
        <v>192</v>
      </c>
      <c r="M12" s="5"/>
      <c r="N12" s="5">
        <v>23.7</v>
      </c>
      <c r="O12" s="5" t="s">
        <v>211</v>
      </c>
      <c r="P12" s="5" t="str">
        <f t="shared" si="0"/>
        <v>OK</v>
      </c>
    </row>
    <row r="13" spans="1:16" x14ac:dyDescent="0.3">
      <c r="A13" s="8" t="s">
        <v>221</v>
      </c>
      <c r="B13" s="8" t="s">
        <v>70</v>
      </c>
      <c r="C13" s="8" t="s">
        <v>216</v>
      </c>
      <c r="D13" s="8" t="s">
        <v>222</v>
      </c>
      <c r="E13" s="8" t="s">
        <v>60</v>
      </c>
      <c r="F13" s="8" t="s">
        <v>75</v>
      </c>
      <c r="G13" s="8">
        <v>10.1</v>
      </c>
      <c r="H13" s="8">
        <v>48</v>
      </c>
      <c r="I13" s="8">
        <v>157.57</v>
      </c>
      <c r="J13" s="8">
        <v>2</v>
      </c>
      <c r="K13" s="8">
        <v>315.14</v>
      </c>
      <c r="L13" s="8" t="s">
        <v>188</v>
      </c>
      <c r="M13" s="8">
        <v>4.9000000000000004</v>
      </c>
      <c r="N13" s="8">
        <v>23.3</v>
      </c>
      <c r="O13" s="8" t="s">
        <v>189</v>
      </c>
      <c r="P13" s="8" t="str">
        <f t="shared" si="0"/>
        <v>OK</v>
      </c>
    </row>
    <row r="14" spans="1:16" x14ac:dyDescent="0.3">
      <c r="A14" s="5" t="s">
        <v>223</v>
      </c>
      <c r="B14" s="5" t="s">
        <v>154</v>
      </c>
      <c r="C14" s="5" t="s">
        <v>216</v>
      </c>
      <c r="D14" s="5" t="s">
        <v>224</v>
      </c>
      <c r="E14" s="5" t="s">
        <v>74</v>
      </c>
      <c r="F14" s="5" t="s">
        <v>105</v>
      </c>
      <c r="G14" s="5">
        <v>64.7</v>
      </c>
      <c r="H14" s="5">
        <v>257</v>
      </c>
      <c r="I14" s="5">
        <v>902.47</v>
      </c>
      <c r="J14" s="5">
        <v>1</v>
      </c>
      <c r="K14" s="5">
        <v>902.47</v>
      </c>
      <c r="L14" s="5" t="s">
        <v>192</v>
      </c>
      <c r="M14" s="5">
        <v>2.7</v>
      </c>
      <c r="N14" s="5">
        <v>1.5</v>
      </c>
      <c r="O14" s="5" t="s">
        <v>189</v>
      </c>
      <c r="P14" s="5" t="str">
        <f t="shared" si="0"/>
        <v>OK</v>
      </c>
    </row>
    <row r="15" spans="1:16" x14ac:dyDescent="0.3">
      <c r="A15" s="8" t="s">
        <v>225</v>
      </c>
      <c r="B15" s="8" t="s">
        <v>132</v>
      </c>
      <c r="C15" s="8" t="s">
        <v>226</v>
      </c>
      <c r="D15" s="8" t="s">
        <v>227</v>
      </c>
      <c r="E15" s="8" t="s">
        <v>60</v>
      </c>
      <c r="F15" s="8" t="s">
        <v>61</v>
      </c>
      <c r="G15" s="8">
        <v>16.399999999999999</v>
      </c>
      <c r="H15" s="8">
        <v>89</v>
      </c>
      <c r="I15" s="8">
        <v>192.82</v>
      </c>
      <c r="J15" s="8">
        <v>1</v>
      </c>
      <c r="K15" s="8">
        <v>192.82</v>
      </c>
      <c r="L15" s="8" t="s">
        <v>214</v>
      </c>
      <c r="M15" s="8">
        <v>3</v>
      </c>
      <c r="N15" s="8">
        <v>4.2</v>
      </c>
      <c r="O15" s="8" t="s">
        <v>189</v>
      </c>
      <c r="P15" s="8" t="str">
        <f t="shared" si="0"/>
        <v>OK</v>
      </c>
    </row>
    <row r="16" spans="1:16" x14ac:dyDescent="0.3">
      <c r="A16" s="5" t="s">
        <v>228</v>
      </c>
      <c r="B16" s="5" t="s">
        <v>170</v>
      </c>
      <c r="C16" s="5" t="s">
        <v>229</v>
      </c>
      <c r="D16" s="5" t="s">
        <v>230</v>
      </c>
      <c r="E16" s="5" t="s">
        <v>81</v>
      </c>
      <c r="F16" s="5" t="s">
        <v>105</v>
      </c>
      <c r="G16" s="5">
        <v>14</v>
      </c>
      <c r="H16" s="5">
        <v>49</v>
      </c>
      <c r="I16" s="5">
        <v>221.3</v>
      </c>
      <c r="J16" s="5">
        <v>1.2</v>
      </c>
      <c r="K16" s="5">
        <v>265.56</v>
      </c>
      <c r="L16" s="5" t="s">
        <v>199</v>
      </c>
      <c r="M16" s="5">
        <v>2.7</v>
      </c>
      <c r="N16" s="5">
        <v>18.5</v>
      </c>
      <c r="O16" s="5" t="s">
        <v>189</v>
      </c>
      <c r="P16" s="5" t="str">
        <f t="shared" si="0"/>
        <v>OK</v>
      </c>
    </row>
    <row r="17" spans="1:16" x14ac:dyDescent="0.3">
      <c r="A17" s="8" t="s">
        <v>231</v>
      </c>
      <c r="B17" s="8" t="s">
        <v>157</v>
      </c>
      <c r="C17" s="8" t="s">
        <v>232</v>
      </c>
      <c r="D17" s="8" t="s">
        <v>233</v>
      </c>
      <c r="E17" s="8" t="s">
        <v>68</v>
      </c>
      <c r="F17" s="8" t="s">
        <v>105</v>
      </c>
      <c r="G17" s="8">
        <v>10.8</v>
      </c>
      <c r="H17" s="8">
        <v>43</v>
      </c>
      <c r="I17" s="8">
        <v>230.84</v>
      </c>
      <c r="J17" s="8">
        <v>1</v>
      </c>
      <c r="K17" s="8">
        <v>230.84</v>
      </c>
      <c r="L17" s="8" t="s">
        <v>207</v>
      </c>
      <c r="M17" s="8"/>
      <c r="N17" s="8">
        <v>3.3</v>
      </c>
      <c r="O17" s="8" t="s">
        <v>211</v>
      </c>
      <c r="P17" s="8" t="str">
        <f t="shared" si="0"/>
        <v>OK</v>
      </c>
    </row>
    <row r="18" spans="1:16" x14ac:dyDescent="0.3">
      <c r="A18" s="5" t="s">
        <v>234</v>
      </c>
      <c r="B18" s="5" t="s">
        <v>141</v>
      </c>
      <c r="C18" s="5" t="s">
        <v>235</v>
      </c>
      <c r="D18" s="5" t="s">
        <v>195</v>
      </c>
      <c r="E18" s="5" t="s">
        <v>68</v>
      </c>
      <c r="F18" s="5" t="s">
        <v>75</v>
      </c>
      <c r="G18" s="5">
        <v>27.6</v>
      </c>
      <c r="H18" s="5">
        <v>114</v>
      </c>
      <c r="I18" s="5">
        <v>519.87</v>
      </c>
      <c r="J18" s="5">
        <v>1</v>
      </c>
      <c r="K18" s="5">
        <v>519.87</v>
      </c>
      <c r="L18" s="5" t="s">
        <v>207</v>
      </c>
      <c r="M18" s="5">
        <v>5</v>
      </c>
      <c r="N18" s="5">
        <v>7.4</v>
      </c>
      <c r="O18" s="5" t="s">
        <v>189</v>
      </c>
      <c r="P18" s="5" t="str">
        <f t="shared" si="0"/>
        <v>OK</v>
      </c>
    </row>
    <row r="19" spans="1:16" x14ac:dyDescent="0.3">
      <c r="A19" s="8" t="s">
        <v>236</v>
      </c>
      <c r="B19" s="8" t="s">
        <v>157</v>
      </c>
      <c r="C19" s="8" t="s">
        <v>237</v>
      </c>
      <c r="D19" s="8" t="s">
        <v>238</v>
      </c>
      <c r="E19" s="8" t="s">
        <v>92</v>
      </c>
      <c r="F19" s="8" t="s">
        <v>105</v>
      </c>
      <c r="G19" s="8">
        <v>11.8</v>
      </c>
      <c r="H19" s="8">
        <v>56</v>
      </c>
      <c r="I19" s="8">
        <v>212.74</v>
      </c>
      <c r="J19" s="8">
        <v>1.5</v>
      </c>
      <c r="K19" s="8">
        <v>319.11</v>
      </c>
      <c r="L19" s="8" t="s">
        <v>199</v>
      </c>
      <c r="M19" s="8">
        <v>2.6</v>
      </c>
      <c r="N19" s="8">
        <v>15</v>
      </c>
      <c r="O19" s="8" t="s">
        <v>189</v>
      </c>
      <c r="P19" s="8" t="str">
        <f t="shared" si="0"/>
        <v>OK</v>
      </c>
    </row>
    <row r="20" spans="1:16" x14ac:dyDescent="0.3">
      <c r="A20" s="5" t="s">
        <v>239</v>
      </c>
      <c r="B20" s="5" t="s">
        <v>128</v>
      </c>
      <c r="C20" s="5" t="s">
        <v>240</v>
      </c>
      <c r="D20" s="5" t="s">
        <v>241</v>
      </c>
      <c r="E20" s="5" t="s">
        <v>88</v>
      </c>
      <c r="F20" s="5" t="s">
        <v>61</v>
      </c>
      <c r="G20" s="5">
        <v>55.6</v>
      </c>
      <c r="H20" s="5">
        <v>153</v>
      </c>
      <c r="I20" s="5">
        <v>973.97</v>
      </c>
      <c r="J20" s="5">
        <v>1.2</v>
      </c>
      <c r="K20" s="5">
        <v>1168.76</v>
      </c>
      <c r="L20" s="5" t="s">
        <v>199</v>
      </c>
      <c r="M20" s="5"/>
      <c r="N20" s="5">
        <v>6.9</v>
      </c>
      <c r="O20" s="5" t="s">
        <v>211</v>
      </c>
      <c r="P20" s="5" t="str">
        <f t="shared" si="0"/>
        <v>OK</v>
      </c>
    </row>
    <row r="21" spans="1:16" x14ac:dyDescent="0.3">
      <c r="A21" s="8" t="s">
        <v>242</v>
      </c>
      <c r="B21" s="8" t="s">
        <v>138</v>
      </c>
      <c r="C21" s="8" t="s">
        <v>243</v>
      </c>
      <c r="D21" s="8" t="s">
        <v>244</v>
      </c>
      <c r="E21" s="8" t="s">
        <v>92</v>
      </c>
      <c r="F21" s="8" t="s">
        <v>82</v>
      </c>
      <c r="G21" s="8">
        <v>60.9</v>
      </c>
      <c r="H21" s="8">
        <v>193</v>
      </c>
      <c r="I21" s="8">
        <v>682.56</v>
      </c>
      <c r="J21" s="8">
        <v>1.2</v>
      </c>
      <c r="K21" s="8">
        <v>819.07</v>
      </c>
      <c r="L21" s="8" t="s">
        <v>192</v>
      </c>
      <c r="M21" s="8">
        <v>3.6</v>
      </c>
      <c r="N21" s="8">
        <v>23.3</v>
      </c>
      <c r="O21" s="8" t="s">
        <v>189</v>
      </c>
      <c r="P21" s="8" t="str">
        <f t="shared" si="0"/>
        <v>OK</v>
      </c>
    </row>
    <row r="22" spans="1:16" x14ac:dyDescent="0.3">
      <c r="A22" s="5" t="s">
        <v>245</v>
      </c>
      <c r="B22" s="5" t="s">
        <v>170</v>
      </c>
      <c r="C22" s="5" t="s">
        <v>246</v>
      </c>
      <c r="D22" s="5" t="s">
        <v>62</v>
      </c>
      <c r="E22" s="5" t="s">
        <v>88</v>
      </c>
      <c r="F22" s="5" t="s">
        <v>61</v>
      </c>
      <c r="G22" s="5">
        <v>6.6</v>
      </c>
      <c r="H22" s="5">
        <v>28</v>
      </c>
      <c r="I22" s="5">
        <v>164.4</v>
      </c>
      <c r="J22" s="5">
        <v>1</v>
      </c>
      <c r="K22" s="5">
        <v>164.4</v>
      </c>
      <c r="L22" s="5" t="s">
        <v>192</v>
      </c>
      <c r="M22" s="5">
        <v>3.2</v>
      </c>
      <c r="N22" s="5">
        <v>11.5</v>
      </c>
      <c r="O22" s="5" t="s">
        <v>189</v>
      </c>
      <c r="P22" s="5" t="str">
        <f t="shared" si="0"/>
        <v>OK</v>
      </c>
    </row>
    <row r="23" spans="1:16" x14ac:dyDescent="0.3">
      <c r="A23" s="8" t="s">
        <v>247</v>
      </c>
      <c r="B23" s="8" t="s">
        <v>132</v>
      </c>
      <c r="C23" s="8" t="s">
        <v>248</v>
      </c>
      <c r="D23" s="8" t="s">
        <v>115</v>
      </c>
      <c r="E23" s="8" t="s">
        <v>92</v>
      </c>
      <c r="F23" s="8" t="s">
        <v>61</v>
      </c>
      <c r="G23" s="8">
        <v>44.1</v>
      </c>
      <c r="H23" s="8">
        <v>178</v>
      </c>
      <c r="I23" s="8">
        <v>448.48</v>
      </c>
      <c r="J23" s="8">
        <v>1</v>
      </c>
      <c r="K23" s="8">
        <v>448.48</v>
      </c>
      <c r="L23" s="8" t="s">
        <v>214</v>
      </c>
      <c r="M23" s="8">
        <v>4.7</v>
      </c>
      <c r="N23" s="8">
        <v>18.8</v>
      </c>
      <c r="O23" s="8" t="s">
        <v>189</v>
      </c>
      <c r="P23" s="8" t="str">
        <f t="shared" si="0"/>
        <v>OK</v>
      </c>
    </row>
    <row r="24" spans="1:16" x14ac:dyDescent="0.3">
      <c r="A24" s="5" t="s">
        <v>249</v>
      </c>
      <c r="B24" s="5" t="s">
        <v>84</v>
      </c>
      <c r="C24" s="5" t="s">
        <v>250</v>
      </c>
      <c r="D24" s="5" t="s">
        <v>115</v>
      </c>
      <c r="E24" s="5" t="s">
        <v>68</v>
      </c>
      <c r="F24" s="5" t="s">
        <v>82</v>
      </c>
      <c r="G24" s="5">
        <v>14.8</v>
      </c>
      <c r="H24" s="5">
        <v>65</v>
      </c>
      <c r="I24" s="5">
        <v>240.7</v>
      </c>
      <c r="J24" s="5">
        <v>2</v>
      </c>
      <c r="K24" s="5">
        <v>481.4</v>
      </c>
      <c r="L24" s="5" t="s">
        <v>199</v>
      </c>
      <c r="M24" s="5">
        <v>4.0999999999999996</v>
      </c>
      <c r="N24" s="5">
        <v>20.9</v>
      </c>
      <c r="O24" s="5" t="s">
        <v>189</v>
      </c>
      <c r="P24" s="5" t="str">
        <f t="shared" si="0"/>
        <v>OK</v>
      </c>
    </row>
    <row r="25" spans="1:16" x14ac:dyDescent="0.3">
      <c r="A25" s="8" t="s">
        <v>251</v>
      </c>
      <c r="B25" s="8" t="s">
        <v>63</v>
      </c>
      <c r="C25" s="8" t="s">
        <v>219</v>
      </c>
      <c r="D25" s="8" t="s">
        <v>252</v>
      </c>
      <c r="E25" s="8" t="s">
        <v>68</v>
      </c>
      <c r="F25" s="8" t="s">
        <v>82</v>
      </c>
      <c r="G25" s="8">
        <v>12.2</v>
      </c>
      <c r="H25" s="8">
        <v>57</v>
      </c>
      <c r="I25" s="8">
        <v>216.03</v>
      </c>
      <c r="J25" s="8">
        <v>1</v>
      </c>
      <c r="K25" s="8">
        <v>216.03</v>
      </c>
      <c r="L25" s="8" t="s">
        <v>199</v>
      </c>
      <c r="M25" s="8">
        <v>3.9</v>
      </c>
      <c r="N25" s="8">
        <v>21</v>
      </c>
      <c r="O25" s="8" t="s">
        <v>189</v>
      </c>
      <c r="P25" s="8" t="str">
        <f t="shared" si="0"/>
        <v>OK</v>
      </c>
    </row>
    <row r="26" spans="1:16" x14ac:dyDescent="0.3">
      <c r="A26" s="5" t="s">
        <v>253</v>
      </c>
      <c r="B26" s="5" t="s">
        <v>135</v>
      </c>
      <c r="C26" s="5" t="s">
        <v>254</v>
      </c>
      <c r="D26" s="5" t="s">
        <v>255</v>
      </c>
      <c r="E26" s="5" t="s">
        <v>68</v>
      </c>
      <c r="F26" s="5" t="s">
        <v>61</v>
      </c>
      <c r="G26" s="5">
        <v>21.4</v>
      </c>
      <c r="H26" s="5">
        <v>109</v>
      </c>
      <c r="I26" s="5">
        <v>405.39</v>
      </c>
      <c r="J26" s="5">
        <v>1</v>
      </c>
      <c r="K26" s="5">
        <v>405.39</v>
      </c>
      <c r="L26" s="5" t="s">
        <v>192</v>
      </c>
      <c r="M26" s="5">
        <v>4.2</v>
      </c>
      <c r="N26" s="5">
        <v>9.5</v>
      </c>
      <c r="O26" s="5" t="s">
        <v>189</v>
      </c>
      <c r="P26" s="5" t="str">
        <f t="shared" si="0"/>
        <v>OK</v>
      </c>
    </row>
    <row r="27" spans="1:16" x14ac:dyDescent="0.3">
      <c r="A27" s="8" t="s">
        <v>256</v>
      </c>
      <c r="B27" s="8" t="s">
        <v>132</v>
      </c>
      <c r="C27" s="8" t="s">
        <v>257</v>
      </c>
      <c r="D27" s="8" t="s">
        <v>258</v>
      </c>
      <c r="E27" s="8" t="s">
        <v>68</v>
      </c>
      <c r="F27" s="8" t="s">
        <v>75</v>
      </c>
      <c r="G27" s="8">
        <v>57.5</v>
      </c>
      <c r="H27" s="8">
        <v>163</v>
      </c>
      <c r="I27" s="8">
        <v>701.01</v>
      </c>
      <c r="J27" s="8">
        <v>1.2</v>
      </c>
      <c r="K27" s="8">
        <v>841.21</v>
      </c>
      <c r="L27" s="8" t="s">
        <v>192</v>
      </c>
      <c r="M27" s="8">
        <v>2.9</v>
      </c>
      <c r="N27" s="8">
        <v>17.8</v>
      </c>
      <c r="O27" s="8" t="s">
        <v>189</v>
      </c>
      <c r="P27" s="8" t="str">
        <f t="shared" si="0"/>
        <v>OK</v>
      </c>
    </row>
    <row r="28" spans="1:16" x14ac:dyDescent="0.3">
      <c r="A28" s="5" t="s">
        <v>259</v>
      </c>
      <c r="B28" s="5" t="s">
        <v>116</v>
      </c>
      <c r="C28" s="5" t="s">
        <v>243</v>
      </c>
      <c r="D28" s="5" t="s">
        <v>230</v>
      </c>
      <c r="E28" s="5" t="s">
        <v>68</v>
      </c>
      <c r="F28" s="5" t="s">
        <v>105</v>
      </c>
      <c r="G28" s="5">
        <v>24</v>
      </c>
      <c r="H28" s="5">
        <v>117</v>
      </c>
      <c r="I28" s="5">
        <v>295.5</v>
      </c>
      <c r="J28" s="5">
        <v>1.8</v>
      </c>
      <c r="K28" s="5">
        <v>531.9</v>
      </c>
      <c r="L28" s="5" t="s">
        <v>192</v>
      </c>
      <c r="M28" s="5">
        <v>3.3</v>
      </c>
      <c r="N28" s="5">
        <v>21.7</v>
      </c>
      <c r="O28" s="5" t="s">
        <v>189</v>
      </c>
      <c r="P28" s="5" t="str">
        <f t="shared" si="0"/>
        <v>OK</v>
      </c>
    </row>
    <row r="29" spans="1:16" x14ac:dyDescent="0.3">
      <c r="A29" s="8" t="s">
        <v>260</v>
      </c>
      <c r="B29" s="8" t="s">
        <v>154</v>
      </c>
      <c r="C29" s="8" t="s">
        <v>250</v>
      </c>
      <c r="D29" s="8" t="s">
        <v>261</v>
      </c>
      <c r="E29" s="8" t="s">
        <v>88</v>
      </c>
      <c r="F29" s="8" t="s">
        <v>105</v>
      </c>
      <c r="G29" s="8">
        <v>44.8</v>
      </c>
      <c r="H29" s="8">
        <v>198</v>
      </c>
      <c r="I29" s="8">
        <v>420.77</v>
      </c>
      <c r="J29" s="8">
        <v>1</v>
      </c>
      <c r="K29" s="8">
        <v>420.77</v>
      </c>
      <c r="L29" s="8" t="s">
        <v>192</v>
      </c>
      <c r="M29" s="8"/>
      <c r="N29" s="8">
        <v>24.1</v>
      </c>
      <c r="O29" s="8" t="s">
        <v>211</v>
      </c>
      <c r="P29" s="8" t="str">
        <f t="shared" si="0"/>
        <v>OK</v>
      </c>
    </row>
    <row r="30" spans="1:16" x14ac:dyDescent="0.3">
      <c r="A30" s="5" t="s">
        <v>262</v>
      </c>
      <c r="B30" s="5" t="s">
        <v>102</v>
      </c>
      <c r="C30" s="5" t="s">
        <v>243</v>
      </c>
      <c r="D30" s="5" t="s">
        <v>263</v>
      </c>
      <c r="E30" s="5" t="s">
        <v>81</v>
      </c>
      <c r="F30" s="5" t="s">
        <v>82</v>
      </c>
      <c r="G30" s="5">
        <v>47.9</v>
      </c>
      <c r="H30" s="5">
        <v>164</v>
      </c>
      <c r="I30" s="5">
        <v>678.17</v>
      </c>
      <c r="J30" s="5">
        <v>1.2</v>
      </c>
      <c r="K30" s="5">
        <v>813.8</v>
      </c>
      <c r="L30" s="5" t="s">
        <v>188</v>
      </c>
      <c r="M30" s="5">
        <v>3.1</v>
      </c>
      <c r="N30" s="5">
        <v>18</v>
      </c>
      <c r="O30" s="5" t="s">
        <v>189</v>
      </c>
      <c r="P30" s="5" t="str">
        <f t="shared" si="0"/>
        <v>OK</v>
      </c>
    </row>
    <row r="31" spans="1:16" x14ac:dyDescent="0.3">
      <c r="A31" s="8" t="s">
        <v>264</v>
      </c>
      <c r="B31" s="8" t="s">
        <v>54</v>
      </c>
      <c r="C31" s="8" t="s">
        <v>240</v>
      </c>
      <c r="D31" s="8" t="s">
        <v>265</v>
      </c>
      <c r="E31" s="8" t="s">
        <v>81</v>
      </c>
      <c r="F31" s="8" t="s">
        <v>61</v>
      </c>
      <c r="G31" s="8">
        <v>61.8</v>
      </c>
      <c r="H31" s="8">
        <v>283</v>
      </c>
      <c r="I31" s="8">
        <v>954.37</v>
      </c>
      <c r="J31" s="8">
        <v>1</v>
      </c>
      <c r="K31" s="8">
        <v>954.37</v>
      </c>
      <c r="L31" s="8" t="s">
        <v>214</v>
      </c>
      <c r="M31" s="8"/>
      <c r="N31" s="8">
        <v>8.4</v>
      </c>
      <c r="O31" s="8" t="s">
        <v>211</v>
      </c>
      <c r="P31" s="8" t="str">
        <f t="shared" si="0"/>
        <v>OK</v>
      </c>
    </row>
    <row r="32" spans="1:16" x14ac:dyDescent="0.3">
      <c r="A32" s="5" t="s">
        <v>266</v>
      </c>
      <c r="B32" s="5" t="s">
        <v>119</v>
      </c>
      <c r="C32" s="5" t="s">
        <v>267</v>
      </c>
      <c r="D32" s="5" t="s">
        <v>268</v>
      </c>
      <c r="E32" s="5" t="s">
        <v>74</v>
      </c>
      <c r="F32" s="5" t="s">
        <v>75</v>
      </c>
      <c r="G32" s="5">
        <v>14.1</v>
      </c>
      <c r="H32" s="5">
        <v>65</v>
      </c>
      <c r="I32" s="5">
        <v>268.29000000000002</v>
      </c>
      <c r="J32" s="5">
        <v>1</v>
      </c>
      <c r="K32" s="5">
        <v>268.29000000000002</v>
      </c>
      <c r="L32" s="5" t="s">
        <v>188</v>
      </c>
      <c r="M32" s="5"/>
      <c r="N32" s="5">
        <v>8.1999999999999993</v>
      </c>
      <c r="O32" s="5" t="s">
        <v>211</v>
      </c>
      <c r="P32" s="5" t="str">
        <f t="shared" si="0"/>
        <v>OK</v>
      </c>
    </row>
    <row r="33" spans="1:16" x14ac:dyDescent="0.3">
      <c r="A33" s="8" t="s">
        <v>269</v>
      </c>
      <c r="B33" s="8" t="s">
        <v>132</v>
      </c>
      <c r="C33" s="8" t="s">
        <v>219</v>
      </c>
      <c r="D33" s="8" t="s">
        <v>270</v>
      </c>
      <c r="E33" s="8" t="s">
        <v>68</v>
      </c>
      <c r="F33" s="8" t="s">
        <v>105</v>
      </c>
      <c r="G33" s="8">
        <v>51.5</v>
      </c>
      <c r="H33" s="8">
        <v>201</v>
      </c>
      <c r="I33" s="8">
        <v>689.52</v>
      </c>
      <c r="J33" s="8">
        <v>1.8</v>
      </c>
      <c r="K33" s="8">
        <v>1241.1400000000001</v>
      </c>
      <c r="L33" s="8" t="s">
        <v>192</v>
      </c>
      <c r="M33" s="8"/>
      <c r="N33" s="8">
        <v>12.4</v>
      </c>
      <c r="O33" s="8" t="s">
        <v>211</v>
      </c>
      <c r="P33" s="8" t="str">
        <f t="shared" si="0"/>
        <v>OK</v>
      </c>
    </row>
    <row r="34" spans="1:16" x14ac:dyDescent="0.3">
      <c r="A34" s="5" t="s">
        <v>271</v>
      </c>
      <c r="B34" s="5" t="s">
        <v>167</v>
      </c>
      <c r="C34" s="5" t="s">
        <v>272</v>
      </c>
      <c r="D34" s="5" t="s">
        <v>204</v>
      </c>
      <c r="E34" s="5" t="s">
        <v>60</v>
      </c>
      <c r="F34" s="5" t="s">
        <v>82</v>
      </c>
      <c r="G34" s="5">
        <v>34.5</v>
      </c>
      <c r="H34" s="5">
        <v>140</v>
      </c>
      <c r="I34" s="5">
        <v>608.36</v>
      </c>
      <c r="J34" s="5">
        <v>2</v>
      </c>
      <c r="K34" s="5">
        <v>1216.72</v>
      </c>
      <c r="L34" s="5" t="s">
        <v>192</v>
      </c>
      <c r="M34" s="5">
        <v>3.1</v>
      </c>
      <c r="N34" s="5">
        <v>5.8</v>
      </c>
      <c r="O34" s="5" t="s">
        <v>189</v>
      </c>
      <c r="P34" s="5" t="str">
        <f t="shared" si="0"/>
        <v>OK</v>
      </c>
    </row>
    <row r="35" spans="1:16" x14ac:dyDescent="0.3">
      <c r="A35" s="8" t="s">
        <v>273</v>
      </c>
      <c r="B35" s="8" t="s">
        <v>54</v>
      </c>
      <c r="C35" s="8" t="s">
        <v>243</v>
      </c>
      <c r="D35" s="8" t="s">
        <v>274</v>
      </c>
      <c r="E35" s="8" t="s">
        <v>88</v>
      </c>
      <c r="F35" s="8" t="s">
        <v>61</v>
      </c>
      <c r="G35" s="8">
        <v>30.7</v>
      </c>
      <c r="H35" s="8">
        <v>145</v>
      </c>
      <c r="I35" s="8">
        <v>516.13</v>
      </c>
      <c r="J35" s="8">
        <v>1.2</v>
      </c>
      <c r="K35" s="8">
        <v>619.36</v>
      </c>
      <c r="L35" s="8" t="s">
        <v>207</v>
      </c>
      <c r="M35" s="8">
        <v>3.1</v>
      </c>
      <c r="N35" s="8">
        <v>16.7</v>
      </c>
      <c r="O35" s="8" t="s">
        <v>189</v>
      </c>
      <c r="P35" s="8" t="str">
        <f t="shared" si="0"/>
        <v>OK</v>
      </c>
    </row>
    <row r="36" spans="1:16" x14ac:dyDescent="0.3">
      <c r="A36" s="5" t="s">
        <v>275</v>
      </c>
      <c r="B36" s="5" t="s">
        <v>54</v>
      </c>
      <c r="C36" s="5" t="s">
        <v>276</v>
      </c>
      <c r="D36" s="5" t="s">
        <v>210</v>
      </c>
      <c r="E36" s="5" t="s">
        <v>81</v>
      </c>
      <c r="F36" s="5" t="s">
        <v>75</v>
      </c>
      <c r="G36" s="5">
        <v>13.1</v>
      </c>
      <c r="H36" s="5">
        <v>71</v>
      </c>
      <c r="I36" s="5">
        <v>161.38</v>
      </c>
      <c r="J36" s="5">
        <v>1</v>
      </c>
      <c r="K36" s="5">
        <v>161.38</v>
      </c>
      <c r="L36" s="5" t="s">
        <v>199</v>
      </c>
      <c r="M36" s="5">
        <v>2.8</v>
      </c>
      <c r="N36" s="5">
        <v>12.2</v>
      </c>
      <c r="O36" s="5" t="s">
        <v>189</v>
      </c>
      <c r="P36" s="5" t="str">
        <f t="shared" si="0"/>
        <v>OK</v>
      </c>
    </row>
    <row r="37" spans="1:16" x14ac:dyDescent="0.3">
      <c r="A37" s="8" t="s">
        <v>277</v>
      </c>
      <c r="B37" s="8" t="s">
        <v>128</v>
      </c>
      <c r="C37" s="8" t="s">
        <v>254</v>
      </c>
      <c r="D37" s="8" t="s">
        <v>252</v>
      </c>
      <c r="E37" s="8" t="s">
        <v>81</v>
      </c>
      <c r="F37" s="8" t="s">
        <v>105</v>
      </c>
      <c r="G37" s="8">
        <v>54.3</v>
      </c>
      <c r="H37" s="8">
        <v>214</v>
      </c>
      <c r="I37" s="8">
        <v>888.2</v>
      </c>
      <c r="J37" s="8">
        <v>1.2</v>
      </c>
      <c r="K37" s="8">
        <v>1065.8399999999999</v>
      </c>
      <c r="L37" s="8" t="s">
        <v>207</v>
      </c>
      <c r="M37" s="8">
        <v>4.4000000000000004</v>
      </c>
      <c r="N37" s="8">
        <v>21.2</v>
      </c>
      <c r="O37" s="8" t="s">
        <v>189</v>
      </c>
      <c r="P37" s="8" t="str">
        <f t="shared" si="0"/>
        <v>OK</v>
      </c>
    </row>
    <row r="38" spans="1:16" x14ac:dyDescent="0.3">
      <c r="A38" s="5" t="s">
        <v>278</v>
      </c>
      <c r="B38" s="5" t="s">
        <v>102</v>
      </c>
      <c r="C38" s="5" t="s">
        <v>279</v>
      </c>
      <c r="D38" s="5" t="s">
        <v>280</v>
      </c>
      <c r="E38" s="5" t="s">
        <v>68</v>
      </c>
      <c r="F38" s="5" t="s">
        <v>82</v>
      </c>
      <c r="G38" s="5">
        <v>29.7</v>
      </c>
      <c r="H38" s="5">
        <v>125</v>
      </c>
      <c r="I38" s="5">
        <v>387.35</v>
      </c>
      <c r="J38" s="5">
        <v>1.5</v>
      </c>
      <c r="K38" s="5">
        <v>581.03</v>
      </c>
      <c r="L38" s="5" t="s">
        <v>199</v>
      </c>
      <c r="M38" s="5">
        <v>2.9</v>
      </c>
      <c r="N38" s="5">
        <v>10.199999999999999</v>
      </c>
      <c r="O38" s="5" t="s">
        <v>189</v>
      </c>
      <c r="P38" s="5" t="str">
        <f t="shared" si="0"/>
        <v>OK</v>
      </c>
    </row>
    <row r="39" spans="1:16" x14ac:dyDescent="0.3">
      <c r="A39" s="8" t="s">
        <v>281</v>
      </c>
      <c r="B39" s="8" t="s">
        <v>84</v>
      </c>
      <c r="C39" s="8" t="s">
        <v>248</v>
      </c>
      <c r="D39" s="8" t="s">
        <v>282</v>
      </c>
      <c r="E39" s="8" t="s">
        <v>81</v>
      </c>
      <c r="F39" s="8" t="s">
        <v>105</v>
      </c>
      <c r="G39" s="8">
        <v>22.8</v>
      </c>
      <c r="H39" s="8">
        <v>84</v>
      </c>
      <c r="I39" s="8">
        <v>422.3</v>
      </c>
      <c r="J39" s="8">
        <v>1.2</v>
      </c>
      <c r="K39" s="8">
        <v>506.76</v>
      </c>
      <c r="L39" s="8" t="s">
        <v>188</v>
      </c>
      <c r="M39" s="8">
        <v>4.5999999999999996</v>
      </c>
      <c r="N39" s="8">
        <v>19.399999999999999</v>
      </c>
      <c r="O39" s="8" t="s">
        <v>189</v>
      </c>
      <c r="P39" s="8" t="str">
        <f t="shared" si="0"/>
        <v>OK</v>
      </c>
    </row>
    <row r="40" spans="1:16" x14ac:dyDescent="0.3">
      <c r="A40" s="5" t="s">
        <v>283</v>
      </c>
      <c r="B40" s="5" t="s">
        <v>116</v>
      </c>
      <c r="C40" s="5" t="s">
        <v>284</v>
      </c>
      <c r="D40" s="5" t="s">
        <v>285</v>
      </c>
      <c r="E40" s="5" t="s">
        <v>74</v>
      </c>
      <c r="F40" s="5" t="s">
        <v>105</v>
      </c>
      <c r="G40" s="5">
        <v>55.8</v>
      </c>
      <c r="H40" s="5">
        <v>257</v>
      </c>
      <c r="I40" s="5">
        <v>913.51</v>
      </c>
      <c r="J40" s="5">
        <v>1.5</v>
      </c>
      <c r="K40" s="5">
        <v>1370.26</v>
      </c>
      <c r="L40" s="5" t="s">
        <v>188</v>
      </c>
      <c r="M40" s="5">
        <v>3.7</v>
      </c>
      <c r="N40" s="5">
        <v>7.6</v>
      </c>
      <c r="O40" s="5" t="s">
        <v>189</v>
      </c>
      <c r="P40" s="5" t="str">
        <f t="shared" si="0"/>
        <v>OK</v>
      </c>
    </row>
    <row r="41" spans="1:16" x14ac:dyDescent="0.3">
      <c r="A41" s="8" t="s">
        <v>286</v>
      </c>
      <c r="B41" s="8" t="s">
        <v>125</v>
      </c>
      <c r="C41" s="8" t="s">
        <v>287</v>
      </c>
      <c r="D41" s="8" t="s">
        <v>288</v>
      </c>
      <c r="E41" s="8" t="s">
        <v>92</v>
      </c>
      <c r="F41" s="8" t="s">
        <v>105</v>
      </c>
      <c r="G41" s="8">
        <v>47.6</v>
      </c>
      <c r="H41" s="8">
        <v>218</v>
      </c>
      <c r="I41" s="8">
        <v>897.62</v>
      </c>
      <c r="J41" s="8">
        <v>1.5</v>
      </c>
      <c r="K41" s="8">
        <v>1346.43</v>
      </c>
      <c r="L41" s="8" t="s">
        <v>199</v>
      </c>
      <c r="M41" s="8">
        <v>4</v>
      </c>
      <c r="N41" s="8">
        <v>16.899999999999999</v>
      </c>
      <c r="O41" s="8" t="s">
        <v>189</v>
      </c>
      <c r="P41" s="8" t="str">
        <f t="shared" si="0"/>
        <v>OK</v>
      </c>
    </row>
    <row r="42" spans="1:16" x14ac:dyDescent="0.3">
      <c r="A42" s="5" t="s">
        <v>289</v>
      </c>
      <c r="B42" s="5" t="s">
        <v>70</v>
      </c>
      <c r="C42" s="5" t="s">
        <v>206</v>
      </c>
      <c r="D42" s="5" t="s">
        <v>146</v>
      </c>
      <c r="E42" s="5" t="s">
        <v>81</v>
      </c>
      <c r="F42" s="5" t="s">
        <v>75</v>
      </c>
      <c r="G42" s="5">
        <v>5.2</v>
      </c>
      <c r="H42" s="5">
        <v>25</v>
      </c>
      <c r="I42" s="5">
        <v>108.6</v>
      </c>
      <c r="J42" s="5">
        <v>2</v>
      </c>
      <c r="K42" s="5">
        <v>217.2</v>
      </c>
      <c r="L42" s="5" t="s">
        <v>207</v>
      </c>
      <c r="M42" s="5">
        <v>4.4000000000000004</v>
      </c>
      <c r="N42" s="5">
        <v>21</v>
      </c>
      <c r="O42" s="5" t="s">
        <v>189</v>
      </c>
      <c r="P42" s="5" t="str">
        <f t="shared" si="0"/>
        <v>OK</v>
      </c>
    </row>
    <row r="43" spans="1:16" x14ac:dyDescent="0.3">
      <c r="A43" s="8" t="s">
        <v>290</v>
      </c>
      <c r="B43" s="8" t="s">
        <v>102</v>
      </c>
      <c r="C43" s="8" t="s">
        <v>291</v>
      </c>
      <c r="D43" s="8" t="s">
        <v>97</v>
      </c>
      <c r="E43" s="8" t="s">
        <v>92</v>
      </c>
      <c r="F43" s="8" t="s">
        <v>61</v>
      </c>
      <c r="G43" s="8">
        <v>65</v>
      </c>
      <c r="H43" s="8">
        <v>223</v>
      </c>
      <c r="I43" s="8">
        <v>1077.8</v>
      </c>
      <c r="J43" s="8">
        <v>1.8</v>
      </c>
      <c r="K43" s="8">
        <v>1940.04</v>
      </c>
      <c r="L43" s="8" t="s">
        <v>199</v>
      </c>
      <c r="M43" s="8">
        <v>4.9000000000000004</v>
      </c>
      <c r="N43" s="8">
        <v>5.8</v>
      </c>
      <c r="O43" s="8" t="s">
        <v>189</v>
      </c>
      <c r="P43" s="8" t="str">
        <f t="shared" si="0"/>
        <v>OK</v>
      </c>
    </row>
    <row r="44" spans="1:16" x14ac:dyDescent="0.3">
      <c r="A44" s="5" t="s">
        <v>292</v>
      </c>
      <c r="B44" s="5" t="s">
        <v>54</v>
      </c>
      <c r="C44" s="5" t="s">
        <v>293</v>
      </c>
      <c r="D44" s="5" t="s">
        <v>258</v>
      </c>
      <c r="E44" s="5" t="s">
        <v>68</v>
      </c>
      <c r="F44" s="5" t="s">
        <v>105</v>
      </c>
      <c r="G44" s="5">
        <v>44.2</v>
      </c>
      <c r="H44" s="5">
        <v>169</v>
      </c>
      <c r="I44" s="5">
        <v>712.76</v>
      </c>
      <c r="J44" s="5">
        <v>2</v>
      </c>
      <c r="K44" s="5">
        <v>1425.52</v>
      </c>
      <c r="L44" s="5" t="s">
        <v>214</v>
      </c>
      <c r="M44" s="5">
        <v>4</v>
      </c>
      <c r="N44" s="5">
        <v>24.1</v>
      </c>
      <c r="O44" s="5" t="s">
        <v>189</v>
      </c>
      <c r="P44" s="5" t="str">
        <f t="shared" si="0"/>
        <v>OK</v>
      </c>
    </row>
    <row r="45" spans="1:16" x14ac:dyDescent="0.3">
      <c r="A45" s="8" t="s">
        <v>294</v>
      </c>
      <c r="B45" s="8" t="s">
        <v>147</v>
      </c>
      <c r="C45" s="8" t="s">
        <v>186</v>
      </c>
      <c r="D45" s="8" t="s">
        <v>101</v>
      </c>
      <c r="E45" s="8" t="s">
        <v>60</v>
      </c>
      <c r="F45" s="8" t="s">
        <v>61</v>
      </c>
      <c r="G45" s="8">
        <v>60.5</v>
      </c>
      <c r="H45" s="8">
        <v>240</v>
      </c>
      <c r="I45" s="8">
        <v>761.06</v>
      </c>
      <c r="J45" s="8">
        <v>1.8</v>
      </c>
      <c r="K45" s="8">
        <v>1369.91</v>
      </c>
      <c r="L45" s="8" t="s">
        <v>192</v>
      </c>
      <c r="M45" s="8">
        <v>4</v>
      </c>
      <c r="N45" s="8">
        <v>20.9</v>
      </c>
      <c r="O45" s="8" t="s">
        <v>189</v>
      </c>
      <c r="P45" s="8" t="str">
        <f t="shared" si="0"/>
        <v>OK</v>
      </c>
    </row>
    <row r="46" spans="1:16" x14ac:dyDescent="0.3">
      <c r="A46" s="5" t="s">
        <v>295</v>
      </c>
      <c r="B46" s="5" t="s">
        <v>98</v>
      </c>
      <c r="C46" s="5" t="s">
        <v>232</v>
      </c>
      <c r="D46" s="5" t="s">
        <v>296</v>
      </c>
      <c r="E46" s="5" t="s">
        <v>92</v>
      </c>
      <c r="F46" s="5" t="s">
        <v>61</v>
      </c>
      <c r="G46" s="5">
        <v>52.2</v>
      </c>
      <c r="H46" s="5">
        <v>195</v>
      </c>
      <c r="I46" s="5">
        <v>745.69</v>
      </c>
      <c r="J46" s="5">
        <v>1.8</v>
      </c>
      <c r="K46" s="5">
        <v>1342.24</v>
      </c>
      <c r="L46" s="5" t="s">
        <v>214</v>
      </c>
      <c r="M46" s="5">
        <v>3.8</v>
      </c>
      <c r="N46" s="5">
        <v>9.1999999999999993</v>
      </c>
      <c r="O46" s="5" t="s">
        <v>189</v>
      </c>
      <c r="P46" s="5" t="str">
        <f t="shared" si="0"/>
        <v>OK</v>
      </c>
    </row>
    <row r="47" spans="1:16" x14ac:dyDescent="0.3">
      <c r="A47" s="8" t="s">
        <v>297</v>
      </c>
      <c r="B47" s="8" t="s">
        <v>164</v>
      </c>
      <c r="C47" s="8" t="s">
        <v>257</v>
      </c>
      <c r="D47" s="8" t="s">
        <v>298</v>
      </c>
      <c r="E47" s="8" t="s">
        <v>81</v>
      </c>
      <c r="F47" s="8" t="s">
        <v>82</v>
      </c>
      <c r="G47" s="8">
        <v>42</v>
      </c>
      <c r="H47" s="8">
        <v>190</v>
      </c>
      <c r="I47" s="8">
        <v>568.9</v>
      </c>
      <c r="J47" s="8">
        <v>1.8</v>
      </c>
      <c r="K47" s="8">
        <v>1024.02</v>
      </c>
      <c r="L47" s="8" t="s">
        <v>188</v>
      </c>
      <c r="M47" s="8">
        <v>4</v>
      </c>
      <c r="N47" s="8">
        <v>23.1</v>
      </c>
      <c r="O47" s="8" t="s">
        <v>189</v>
      </c>
      <c r="P47" s="8" t="str">
        <f t="shared" si="0"/>
        <v>OK</v>
      </c>
    </row>
    <row r="48" spans="1:16" x14ac:dyDescent="0.3">
      <c r="A48" s="5" t="s">
        <v>299</v>
      </c>
      <c r="B48" s="5" t="s">
        <v>154</v>
      </c>
      <c r="C48" s="5" t="s">
        <v>284</v>
      </c>
      <c r="D48" s="5" t="s">
        <v>300</v>
      </c>
      <c r="E48" s="5" t="s">
        <v>92</v>
      </c>
      <c r="F48" s="5" t="s">
        <v>82</v>
      </c>
      <c r="G48" s="5">
        <v>22.3</v>
      </c>
      <c r="H48" s="5">
        <v>86</v>
      </c>
      <c r="I48" s="5">
        <v>290.60000000000002</v>
      </c>
      <c r="J48" s="5">
        <v>1.2</v>
      </c>
      <c r="K48" s="5">
        <v>348.72</v>
      </c>
      <c r="L48" s="5" t="s">
        <v>192</v>
      </c>
      <c r="M48" s="5">
        <v>3.9</v>
      </c>
      <c r="N48" s="5">
        <v>17</v>
      </c>
      <c r="O48" s="5" t="s">
        <v>189</v>
      </c>
      <c r="P48" s="5" t="str">
        <f t="shared" si="0"/>
        <v>OK</v>
      </c>
    </row>
    <row r="49" spans="1:16" x14ac:dyDescent="0.3">
      <c r="A49" s="8" t="s">
        <v>301</v>
      </c>
      <c r="B49" s="8" t="s">
        <v>110</v>
      </c>
      <c r="C49" s="8" t="s">
        <v>287</v>
      </c>
      <c r="D49" s="8" t="s">
        <v>302</v>
      </c>
      <c r="E49" s="8" t="s">
        <v>74</v>
      </c>
      <c r="F49" s="8" t="s">
        <v>75</v>
      </c>
      <c r="G49" s="8">
        <v>32.700000000000003</v>
      </c>
      <c r="H49" s="8">
        <v>114</v>
      </c>
      <c r="I49" s="8">
        <v>403.05</v>
      </c>
      <c r="J49" s="8">
        <v>1.5</v>
      </c>
      <c r="K49" s="8">
        <v>604.58000000000004</v>
      </c>
      <c r="L49" s="8" t="s">
        <v>214</v>
      </c>
      <c r="M49" s="8"/>
      <c r="N49" s="8">
        <v>1.2</v>
      </c>
      <c r="O49" s="8" t="s">
        <v>211</v>
      </c>
      <c r="P49" s="8" t="str">
        <f t="shared" si="0"/>
        <v>OK</v>
      </c>
    </row>
    <row r="50" spans="1:16" x14ac:dyDescent="0.3">
      <c r="A50" s="5" t="s">
        <v>303</v>
      </c>
      <c r="B50" s="5" t="s">
        <v>94</v>
      </c>
      <c r="C50" s="5" t="s">
        <v>291</v>
      </c>
      <c r="D50" s="5" t="s">
        <v>304</v>
      </c>
      <c r="E50" s="5" t="s">
        <v>81</v>
      </c>
      <c r="F50" s="5" t="s">
        <v>105</v>
      </c>
      <c r="G50" s="5">
        <v>37</v>
      </c>
      <c r="H50" s="5">
        <v>122</v>
      </c>
      <c r="I50" s="5">
        <v>609.38</v>
      </c>
      <c r="J50" s="5">
        <v>1.2</v>
      </c>
      <c r="K50" s="5">
        <v>731.26</v>
      </c>
      <c r="L50" s="5" t="s">
        <v>199</v>
      </c>
      <c r="M50" s="5">
        <v>3.2</v>
      </c>
      <c r="N50" s="5">
        <v>10.7</v>
      </c>
      <c r="O50" s="5" t="s">
        <v>189</v>
      </c>
      <c r="P50" s="5" t="str">
        <f t="shared" si="0"/>
        <v>OK</v>
      </c>
    </row>
    <row r="51" spans="1:16" x14ac:dyDescent="0.3">
      <c r="A51" s="8" t="s">
        <v>305</v>
      </c>
      <c r="B51" s="8" t="s">
        <v>98</v>
      </c>
      <c r="C51" s="8" t="s">
        <v>306</v>
      </c>
      <c r="D51" s="8" t="s">
        <v>220</v>
      </c>
      <c r="E51" s="8" t="s">
        <v>88</v>
      </c>
      <c r="F51" s="8" t="s">
        <v>82</v>
      </c>
      <c r="G51" s="8">
        <v>28.8</v>
      </c>
      <c r="H51" s="8">
        <v>125</v>
      </c>
      <c r="I51" s="8">
        <v>482.82</v>
      </c>
      <c r="J51" s="8">
        <v>1</v>
      </c>
      <c r="K51" s="8">
        <v>482.82</v>
      </c>
      <c r="L51" s="8" t="s">
        <v>214</v>
      </c>
      <c r="M51" s="8">
        <v>3.1</v>
      </c>
      <c r="N51" s="8">
        <v>18.3</v>
      </c>
      <c r="O51" s="8" t="s">
        <v>189</v>
      </c>
      <c r="P51" s="8" t="str">
        <f t="shared" si="0"/>
        <v>OK</v>
      </c>
    </row>
    <row r="52" spans="1:16" x14ac:dyDescent="0.3">
      <c r="A52" s="5" t="s">
        <v>307</v>
      </c>
      <c r="B52" s="5" t="s">
        <v>110</v>
      </c>
      <c r="C52" s="5" t="s">
        <v>186</v>
      </c>
      <c r="D52" s="5" t="s">
        <v>233</v>
      </c>
      <c r="E52" s="5" t="s">
        <v>68</v>
      </c>
      <c r="F52" s="5" t="s">
        <v>105</v>
      </c>
      <c r="G52" s="5">
        <v>19.399999999999999</v>
      </c>
      <c r="H52" s="5">
        <v>88</v>
      </c>
      <c r="I52" s="5">
        <v>320.98</v>
      </c>
      <c r="J52" s="5">
        <v>1</v>
      </c>
      <c r="K52" s="5">
        <v>320.98</v>
      </c>
      <c r="L52" s="5" t="s">
        <v>192</v>
      </c>
      <c r="M52" s="5">
        <v>3.1</v>
      </c>
      <c r="N52" s="5">
        <v>5.3</v>
      </c>
      <c r="O52" s="5" t="s">
        <v>189</v>
      </c>
      <c r="P52" s="5" t="str">
        <f t="shared" si="0"/>
        <v>OK</v>
      </c>
    </row>
    <row r="53" spans="1:16" x14ac:dyDescent="0.3">
      <c r="A53" s="8" t="s">
        <v>308</v>
      </c>
      <c r="B53" s="8" t="s">
        <v>54</v>
      </c>
      <c r="C53" s="8" t="s">
        <v>248</v>
      </c>
      <c r="D53" s="8" t="s">
        <v>309</v>
      </c>
      <c r="E53" s="8" t="s">
        <v>60</v>
      </c>
      <c r="F53" s="8" t="s">
        <v>61</v>
      </c>
      <c r="G53" s="8">
        <v>36.9</v>
      </c>
      <c r="H53" s="8">
        <v>151</v>
      </c>
      <c r="I53" s="8">
        <v>665.66</v>
      </c>
      <c r="J53" s="8">
        <v>1.2</v>
      </c>
      <c r="K53" s="8">
        <v>798.79</v>
      </c>
      <c r="L53" s="8" t="s">
        <v>199</v>
      </c>
      <c r="M53" s="8">
        <v>3.9</v>
      </c>
      <c r="N53" s="8">
        <v>12.3</v>
      </c>
      <c r="O53" s="8" t="s">
        <v>189</v>
      </c>
      <c r="P53" s="8" t="str">
        <f t="shared" si="0"/>
        <v>OK</v>
      </c>
    </row>
    <row r="54" spans="1:16" x14ac:dyDescent="0.3">
      <c r="A54" s="5" t="s">
        <v>310</v>
      </c>
      <c r="B54" s="5" t="s">
        <v>122</v>
      </c>
      <c r="C54" s="5" t="s">
        <v>194</v>
      </c>
      <c r="D54" s="5" t="s">
        <v>241</v>
      </c>
      <c r="E54" s="5" t="s">
        <v>74</v>
      </c>
      <c r="F54" s="5" t="s">
        <v>105</v>
      </c>
      <c r="G54" s="5">
        <v>9.1999999999999993</v>
      </c>
      <c r="H54" s="5">
        <v>37</v>
      </c>
      <c r="I54" s="5">
        <v>176.69</v>
      </c>
      <c r="J54" s="5">
        <v>1.8</v>
      </c>
      <c r="K54" s="5">
        <v>318.04000000000002</v>
      </c>
      <c r="L54" s="5" t="s">
        <v>199</v>
      </c>
      <c r="M54" s="5">
        <v>2.9</v>
      </c>
      <c r="N54" s="5">
        <v>14.5</v>
      </c>
      <c r="O54" s="5" t="s">
        <v>189</v>
      </c>
      <c r="P54" s="5" t="str">
        <f t="shared" si="0"/>
        <v>OK</v>
      </c>
    </row>
    <row r="55" spans="1:16" x14ac:dyDescent="0.3">
      <c r="A55" s="8" t="s">
        <v>311</v>
      </c>
      <c r="B55" s="8" t="s">
        <v>107</v>
      </c>
      <c r="C55" s="8" t="s">
        <v>291</v>
      </c>
      <c r="D55" s="8" t="s">
        <v>312</v>
      </c>
      <c r="E55" s="8" t="s">
        <v>88</v>
      </c>
      <c r="F55" s="8" t="s">
        <v>105</v>
      </c>
      <c r="G55" s="8">
        <v>40.200000000000003</v>
      </c>
      <c r="H55" s="8">
        <v>172</v>
      </c>
      <c r="I55" s="8">
        <v>581.66999999999996</v>
      </c>
      <c r="J55" s="8">
        <v>1.2</v>
      </c>
      <c r="K55" s="8">
        <v>698</v>
      </c>
      <c r="L55" s="8" t="s">
        <v>207</v>
      </c>
      <c r="M55" s="8">
        <v>4.7</v>
      </c>
      <c r="N55" s="8">
        <v>24.8</v>
      </c>
      <c r="O55" s="8" t="s">
        <v>189</v>
      </c>
      <c r="P55" s="8" t="str">
        <f t="shared" si="0"/>
        <v>OK</v>
      </c>
    </row>
    <row r="56" spans="1:16" x14ac:dyDescent="0.3">
      <c r="A56" s="5" t="s">
        <v>313</v>
      </c>
      <c r="B56" s="5" t="s">
        <v>107</v>
      </c>
      <c r="C56" s="5" t="s">
        <v>229</v>
      </c>
      <c r="D56" s="5" t="s">
        <v>263</v>
      </c>
      <c r="E56" s="5" t="s">
        <v>92</v>
      </c>
      <c r="F56" s="5" t="s">
        <v>61</v>
      </c>
      <c r="G56" s="5">
        <v>61.7</v>
      </c>
      <c r="H56" s="5">
        <v>188</v>
      </c>
      <c r="I56" s="5">
        <v>951.08</v>
      </c>
      <c r="J56" s="5">
        <v>1</v>
      </c>
      <c r="K56" s="5">
        <v>951.08</v>
      </c>
      <c r="L56" s="5" t="s">
        <v>192</v>
      </c>
      <c r="M56" s="5">
        <v>3.9</v>
      </c>
      <c r="N56" s="5">
        <v>4.8</v>
      </c>
      <c r="O56" s="5" t="s">
        <v>189</v>
      </c>
      <c r="P56" s="5" t="str">
        <f t="shared" si="0"/>
        <v>OK</v>
      </c>
    </row>
    <row r="57" spans="1:16" x14ac:dyDescent="0.3">
      <c r="A57" s="8" t="s">
        <v>314</v>
      </c>
      <c r="B57" s="8" t="s">
        <v>119</v>
      </c>
      <c r="C57" s="8" t="s">
        <v>315</v>
      </c>
      <c r="D57" s="8" t="s">
        <v>127</v>
      </c>
      <c r="E57" s="8" t="s">
        <v>60</v>
      </c>
      <c r="F57" s="8" t="s">
        <v>75</v>
      </c>
      <c r="G57" s="8">
        <v>20.2</v>
      </c>
      <c r="H57" s="8">
        <v>80</v>
      </c>
      <c r="I57" s="8">
        <v>225.98</v>
      </c>
      <c r="J57" s="8">
        <v>1</v>
      </c>
      <c r="K57" s="8">
        <v>225.98</v>
      </c>
      <c r="L57" s="8" t="s">
        <v>214</v>
      </c>
      <c r="M57" s="8"/>
      <c r="N57" s="8">
        <v>16.899999999999999</v>
      </c>
      <c r="O57" s="8" t="s">
        <v>211</v>
      </c>
      <c r="P57" s="8" t="str">
        <f t="shared" si="0"/>
        <v>OK</v>
      </c>
    </row>
    <row r="58" spans="1:16" x14ac:dyDescent="0.3">
      <c r="A58" s="5" t="s">
        <v>316</v>
      </c>
      <c r="B58" s="5" t="s">
        <v>170</v>
      </c>
      <c r="C58" s="5" t="s">
        <v>317</v>
      </c>
      <c r="D58" s="5" t="s">
        <v>298</v>
      </c>
      <c r="E58" s="5" t="s">
        <v>88</v>
      </c>
      <c r="F58" s="5" t="s">
        <v>75</v>
      </c>
      <c r="G58" s="5">
        <v>42.8</v>
      </c>
      <c r="H58" s="5">
        <v>202</v>
      </c>
      <c r="I58" s="5">
        <v>422.96</v>
      </c>
      <c r="J58" s="5">
        <v>1</v>
      </c>
      <c r="K58" s="5">
        <v>422.96</v>
      </c>
      <c r="L58" s="5" t="s">
        <v>214</v>
      </c>
      <c r="M58" s="5"/>
      <c r="N58" s="5">
        <v>19</v>
      </c>
      <c r="O58" s="5" t="s">
        <v>211</v>
      </c>
      <c r="P58" s="5" t="str">
        <f t="shared" si="0"/>
        <v>OK</v>
      </c>
    </row>
    <row r="59" spans="1:16" x14ac:dyDescent="0.3">
      <c r="A59" s="8" t="s">
        <v>318</v>
      </c>
      <c r="B59" s="8" t="s">
        <v>135</v>
      </c>
      <c r="C59" s="8" t="s">
        <v>197</v>
      </c>
      <c r="D59" s="8" t="s">
        <v>298</v>
      </c>
      <c r="E59" s="8" t="s">
        <v>81</v>
      </c>
      <c r="F59" s="8" t="s">
        <v>82</v>
      </c>
      <c r="G59" s="8">
        <v>46.1</v>
      </c>
      <c r="H59" s="8">
        <v>215</v>
      </c>
      <c r="I59" s="8">
        <v>646.44000000000005</v>
      </c>
      <c r="J59" s="8">
        <v>1</v>
      </c>
      <c r="K59" s="8">
        <v>646.44000000000005</v>
      </c>
      <c r="L59" s="8" t="s">
        <v>188</v>
      </c>
      <c r="M59" s="8">
        <v>4.7</v>
      </c>
      <c r="N59" s="8">
        <v>18.600000000000001</v>
      </c>
      <c r="O59" s="8" t="s">
        <v>189</v>
      </c>
      <c r="P59" s="8" t="str">
        <f t="shared" si="0"/>
        <v>OK</v>
      </c>
    </row>
    <row r="60" spans="1:16" x14ac:dyDescent="0.3">
      <c r="A60" s="5" t="s">
        <v>319</v>
      </c>
      <c r="B60" s="5" t="s">
        <v>138</v>
      </c>
      <c r="C60" s="5" t="s">
        <v>213</v>
      </c>
      <c r="D60" s="5" t="s">
        <v>195</v>
      </c>
      <c r="E60" s="5" t="s">
        <v>68</v>
      </c>
      <c r="F60" s="5" t="s">
        <v>61</v>
      </c>
      <c r="G60" s="5">
        <v>65</v>
      </c>
      <c r="H60" s="5">
        <v>259</v>
      </c>
      <c r="I60" s="5">
        <v>596.15</v>
      </c>
      <c r="J60" s="5">
        <v>2</v>
      </c>
      <c r="K60" s="5">
        <v>1192.3</v>
      </c>
      <c r="L60" s="5" t="s">
        <v>192</v>
      </c>
      <c r="M60" s="5">
        <v>3.8</v>
      </c>
      <c r="N60" s="5">
        <v>11.6</v>
      </c>
      <c r="O60" s="5" t="s">
        <v>189</v>
      </c>
      <c r="P60" s="5" t="str">
        <f t="shared" si="0"/>
        <v>OK</v>
      </c>
    </row>
    <row r="61" spans="1:16" x14ac:dyDescent="0.3">
      <c r="A61" s="8" t="s">
        <v>320</v>
      </c>
      <c r="B61" s="8" t="s">
        <v>102</v>
      </c>
      <c r="C61" s="8" t="s">
        <v>321</v>
      </c>
      <c r="D61" s="8" t="s">
        <v>280</v>
      </c>
      <c r="E61" s="8" t="s">
        <v>81</v>
      </c>
      <c r="F61" s="8" t="s">
        <v>61</v>
      </c>
      <c r="G61" s="8">
        <v>31.6</v>
      </c>
      <c r="H61" s="8">
        <v>115</v>
      </c>
      <c r="I61" s="8">
        <v>335.85</v>
      </c>
      <c r="J61" s="8">
        <v>1</v>
      </c>
      <c r="K61" s="8">
        <v>335.85</v>
      </c>
      <c r="L61" s="8" t="s">
        <v>214</v>
      </c>
      <c r="M61" s="8">
        <v>4.2</v>
      </c>
      <c r="N61" s="8">
        <v>7.9</v>
      </c>
      <c r="O61" s="8" t="s">
        <v>189</v>
      </c>
      <c r="P61" s="8" t="str">
        <f t="shared" si="0"/>
        <v>OK</v>
      </c>
    </row>
    <row r="62" spans="1:16" x14ac:dyDescent="0.3">
      <c r="A62" s="5" t="s">
        <v>322</v>
      </c>
      <c r="B62" s="5" t="s">
        <v>116</v>
      </c>
      <c r="C62" s="5" t="s">
        <v>276</v>
      </c>
      <c r="D62" s="5" t="s">
        <v>62</v>
      </c>
      <c r="E62" s="5" t="s">
        <v>60</v>
      </c>
      <c r="F62" s="5" t="s">
        <v>82</v>
      </c>
      <c r="G62" s="5">
        <v>17.899999999999999</v>
      </c>
      <c r="H62" s="5">
        <v>65</v>
      </c>
      <c r="I62" s="5">
        <v>348.02</v>
      </c>
      <c r="J62" s="5">
        <v>2</v>
      </c>
      <c r="K62" s="5">
        <v>696.04</v>
      </c>
      <c r="L62" s="5" t="s">
        <v>199</v>
      </c>
      <c r="M62" s="5"/>
      <c r="N62" s="5">
        <v>12.1</v>
      </c>
      <c r="O62" s="5" t="s">
        <v>211</v>
      </c>
      <c r="P62" s="5" t="str">
        <f t="shared" si="0"/>
        <v>OK</v>
      </c>
    </row>
    <row r="63" spans="1:16" x14ac:dyDescent="0.3">
      <c r="A63" s="8" t="s">
        <v>323</v>
      </c>
      <c r="B63" s="8" t="s">
        <v>63</v>
      </c>
      <c r="C63" s="8" t="s">
        <v>317</v>
      </c>
      <c r="D63" s="8" t="s">
        <v>115</v>
      </c>
      <c r="E63" s="8" t="s">
        <v>81</v>
      </c>
      <c r="F63" s="8" t="s">
        <v>105</v>
      </c>
      <c r="G63" s="8">
        <v>49.9</v>
      </c>
      <c r="H63" s="8">
        <v>158</v>
      </c>
      <c r="I63" s="8">
        <v>912.11</v>
      </c>
      <c r="J63" s="8">
        <v>1.2</v>
      </c>
      <c r="K63" s="8">
        <v>1094.53</v>
      </c>
      <c r="L63" s="8" t="s">
        <v>207</v>
      </c>
      <c r="M63" s="8">
        <v>2.6</v>
      </c>
      <c r="N63" s="8">
        <v>16.100000000000001</v>
      </c>
      <c r="O63" s="8" t="s">
        <v>189</v>
      </c>
      <c r="P63" s="8" t="str">
        <f t="shared" si="0"/>
        <v>OK</v>
      </c>
    </row>
    <row r="64" spans="1:16" x14ac:dyDescent="0.3">
      <c r="A64" s="5" t="s">
        <v>324</v>
      </c>
      <c r="B64" s="5" t="s">
        <v>157</v>
      </c>
      <c r="C64" s="5" t="s">
        <v>325</v>
      </c>
      <c r="D64" s="5" t="s">
        <v>101</v>
      </c>
      <c r="E64" s="5" t="s">
        <v>88</v>
      </c>
      <c r="F64" s="5" t="s">
        <v>61</v>
      </c>
      <c r="G64" s="5">
        <v>36.799999999999997</v>
      </c>
      <c r="H64" s="5">
        <v>119</v>
      </c>
      <c r="I64" s="5">
        <v>680.36</v>
      </c>
      <c r="J64" s="5">
        <v>1.2</v>
      </c>
      <c r="K64" s="5">
        <v>816.43</v>
      </c>
      <c r="L64" s="5" t="s">
        <v>199</v>
      </c>
      <c r="M64" s="5">
        <v>3.7</v>
      </c>
      <c r="N64" s="5">
        <v>18.2</v>
      </c>
      <c r="O64" s="5" t="s">
        <v>189</v>
      </c>
      <c r="P64" s="5" t="str">
        <f t="shared" si="0"/>
        <v>OK</v>
      </c>
    </row>
    <row r="65" spans="1:16" x14ac:dyDescent="0.3">
      <c r="A65" s="8" t="s">
        <v>326</v>
      </c>
      <c r="B65" s="8" t="s">
        <v>128</v>
      </c>
      <c r="C65" s="8" t="s">
        <v>248</v>
      </c>
      <c r="D65" s="8" t="s">
        <v>238</v>
      </c>
      <c r="E65" s="8" t="s">
        <v>81</v>
      </c>
      <c r="F65" s="8" t="s">
        <v>105</v>
      </c>
      <c r="G65" s="8">
        <v>17.399999999999999</v>
      </c>
      <c r="H65" s="8">
        <v>73</v>
      </c>
      <c r="I65" s="8">
        <v>349.61</v>
      </c>
      <c r="J65" s="8">
        <v>1.5</v>
      </c>
      <c r="K65" s="8">
        <v>524.41</v>
      </c>
      <c r="L65" s="8" t="s">
        <v>192</v>
      </c>
      <c r="M65" s="8">
        <v>3.2</v>
      </c>
      <c r="N65" s="8">
        <v>20</v>
      </c>
      <c r="O65" s="8" t="s">
        <v>189</v>
      </c>
      <c r="P65" s="8" t="str">
        <f t="shared" si="0"/>
        <v>OK</v>
      </c>
    </row>
    <row r="66" spans="1:16" x14ac:dyDescent="0.3">
      <c r="A66" s="5" t="s">
        <v>327</v>
      </c>
      <c r="B66" s="5" t="s">
        <v>119</v>
      </c>
      <c r="C66" s="5" t="s">
        <v>194</v>
      </c>
      <c r="D66" s="5" t="s">
        <v>328</v>
      </c>
      <c r="E66" s="5" t="s">
        <v>60</v>
      </c>
      <c r="F66" s="5" t="s">
        <v>82</v>
      </c>
      <c r="G66" s="5">
        <v>47.7</v>
      </c>
      <c r="H66" s="5">
        <v>213</v>
      </c>
      <c r="I66" s="5">
        <v>746.39</v>
      </c>
      <c r="J66" s="5">
        <v>2</v>
      </c>
      <c r="K66" s="5">
        <v>1492.78</v>
      </c>
      <c r="L66" s="5" t="s">
        <v>192</v>
      </c>
      <c r="M66" s="5">
        <v>3.8</v>
      </c>
      <c r="N66" s="5">
        <v>9.3000000000000007</v>
      </c>
      <c r="O66" s="5" t="s">
        <v>189</v>
      </c>
      <c r="P66" s="5" t="str">
        <f t="shared" si="0"/>
        <v>OK</v>
      </c>
    </row>
    <row r="67" spans="1:16" x14ac:dyDescent="0.3">
      <c r="A67" s="8" t="s">
        <v>329</v>
      </c>
      <c r="B67" s="8" t="s">
        <v>132</v>
      </c>
      <c r="C67" s="8" t="s">
        <v>276</v>
      </c>
      <c r="D67" s="8" t="s">
        <v>172</v>
      </c>
      <c r="E67" s="8" t="s">
        <v>74</v>
      </c>
      <c r="F67" s="8" t="s">
        <v>75</v>
      </c>
      <c r="G67" s="8">
        <v>63.8</v>
      </c>
      <c r="H67" s="8">
        <v>201</v>
      </c>
      <c r="I67" s="8">
        <v>1106.54</v>
      </c>
      <c r="J67" s="8">
        <v>1.2</v>
      </c>
      <c r="K67" s="8">
        <v>1327.85</v>
      </c>
      <c r="L67" s="8" t="s">
        <v>199</v>
      </c>
      <c r="M67" s="8">
        <v>4.4000000000000004</v>
      </c>
      <c r="N67" s="8">
        <v>17.899999999999999</v>
      </c>
      <c r="O67" s="8" t="s">
        <v>189</v>
      </c>
      <c r="P67" s="8" t="str">
        <f t="shared" ref="P67:P101" si="1">IF(H67&lt;(G67/60),"Impossible Speed","OK")</f>
        <v>OK</v>
      </c>
    </row>
    <row r="68" spans="1:16" x14ac:dyDescent="0.3">
      <c r="A68" s="5" t="s">
        <v>330</v>
      </c>
      <c r="B68" s="5" t="s">
        <v>157</v>
      </c>
      <c r="C68" s="5" t="s">
        <v>331</v>
      </c>
      <c r="D68" s="5" t="s">
        <v>332</v>
      </c>
      <c r="E68" s="5" t="s">
        <v>92</v>
      </c>
      <c r="F68" s="5" t="s">
        <v>75</v>
      </c>
      <c r="G68" s="5">
        <v>33.200000000000003</v>
      </c>
      <c r="H68" s="5">
        <v>98</v>
      </c>
      <c r="I68" s="5">
        <v>511.54</v>
      </c>
      <c r="J68" s="5">
        <v>2</v>
      </c>
      <c r="K68" s="5">
        <v>1023.08</v>
      </c>
      <c r="L68" s="5" t="s">
        <v>199</v>
      </c>
      <c r="M68" s="5">
        <v>2.7</v>
      </c>
      <c r="N68" s="5">
        <v>22.9</v>
      </c>
      <c r="O68" s="5" t="s">
        <v>189</v>
      </c>
      <c r="P68" s="5" t="str">
        <f t="shared" si="1"/>
        <v>OK</v>
      </c>
    </row>
    <row r="69" spans="1:16" x14ac:dyDescent="0.3">
      <c r="A69" s="8" t="s">
        <v>333</v>
      </c>
      <c r="B69" s="8" t="s">
        <v>54</v>
      </c>
      <c r="C69" s="8" t="s">
        <v>216</v>
      </c>
      <c r="D69" s="8" t="s">
        <v>255</v>
      </c>
      <c r="E69" s="8" t="s">
        <v>92</v>
      </c>
      <c r="F69" s="8" t="s">
        <v>75</v>
      </c>
      <c r="G69" s="8">
        <v>6.7</v>
      </c>
      <c r="H69" s="8">
        <v>36</v>
      </c>
      <c r="I69" s="8">
        <v>145.36000000000001</v>
      </c>
      <c r="J69" s="8">
        <v>1.2</v>
      </c>
      <c r="K69" s="8">
        <v>174.43</v>
      </c>
      <c r="L69" s="8" t="s">
        <v>199</v>
      </c>
      <c r="M69" s="8">
        <v>4.5999999999999996</v>
      </c>
      <c r="N69" s="8">
        <v>21.6</v>
      </c>
      <c r="O69" s="8" t="s">
        <v>189</v>
      </c>
      <c r="P69" s="8" t="str">
        <f t="shared" si="1"/>
        <v>OK</v>
      </c>
    </row>
    <row r="70" spans="1:16" x14ac:dyDescent="0.3">
      <c r="A70" s="5" t="s">
        <v>334</v>
      </c>
      <c r="B70" s="5" t="s">
        <v>116</v>
      </c>
      <c r="C70" s="5" t="s">
        <v>267</v>
      </c>
      <c r="D70" s="5" t="s">
        <v>302</v>
      </c>
      <c r="E70" s="5" t="s">
        <v>88</v>
      </c>
      <c r="F70" s="5" t="s">
        <v>61</v>
      </c>
      <c r="G70" s="5">
        <v>40.9</v>
      </c>
      <c r="H70" s="5">
        <v>137</v>
      </c>
      <c r="I70" s="5">
        <v>494.74</v>
      </c>
      <c r="J70" s="5">
        <v>1</v>
      </c>
      <c r="K70" s="5">
        <v>494.74</v>
      </c>
      <c r="L70" s="5" t="s">
        <v>199</v>
      </c>
      <c r="M70" s="5">
        <v>4.9000000000000004</v>
      </c>
      <c r="N70" s="5">
        <v>19.2</v>
      </c>
      <c r="O70" s="5" t="s">
        <v>189</v>
      </c>
      <c r="P70" s="5" t="str">
        <f t="shared" si="1"/>
        <v>OK</v>
      </c>
    </row>
    <row r="71" spans="1:16" x14ac:dyDescent="0.3">
      <c r="A71" s="8" t="s">
        <v>335</v>
      </c>
      <c r="B71" s="8" t="s">
        <v>147</v>
      </c>
      <c r="C71" s="8" t="s">
        <v>232</v>
      </c>
      <c r="D71" s="8" t="s">
        <v>336</v>
      </c>
      <c r="E71" s="8" t="s">
        <v>92</v>
      </c>
      <c r="F71" s="8" t="s">
        <v>82</v>
      </c>
      <c r="G71" s="8">
        <v>58.9</v>
      </c>
      <c r="H71" s="8">
        <v>170</v>
      </c>
      <c r="I71" s="8">
        <v>693.99</v>
      </c>
      <c r="J71" s="8">
        <v>1</v>
      </c>
      <c r="K71" s="8">
        <v>693.99</v>
      </c>
      <c r="L71" s="8" t="s">
        <v>207</v>
      </c>
      <c r="M71" s="8">
        <v>3.1</v>
      </c>
      <c r="N71" s="8">
        <v>10.9</v>
      </c>
      <c r="O71" s="8" t="s">
        <v>189</v>
      </c>
      <c r="P71" s="8" t="str">
        <f t="shared" si="1"/>
        <v>OK</v>
      </c>
    </row>
    <row r="72" spans="1:16" x14ac:dyDescent="0.3">
      <c r="A72" s="5" t="s">
        <v>337</v>
      </c>
      <c r="B72" s="5" t="s">
        <v>144</v>
      </c>
      <c r="C72" s="5" t="s">
        <v>321</v>
      </c>
      <c r="D72" s="5" t="s">
        <v>338</v>
      </c>
      <c r="E72" s="5" t="s">
        <v>60</v>
      </c>
      <c r="F72" s="5" t="s">
        <v>105</v>
      </c>
      <c r="G72" s="5">
        <v>41</v>
      </c>
      <c r="H72" s="5">
        <v>141</v>
      </c>
      <c r="I72" s="5">
        <v>436.68</v>
      </c>
      <c r="J72" s="5">
        <v>1.2</v>
      </c>
      <c r="K72" s="5">
        <v>524.02</v>
      </c>
      <c r="L72" s="5" t="s">
        <v>214</v>
      </c>
      <c r="M72" s="5">
        <v>3.1</v>
      </c>
      <c r="N72" s="5">
        <v>1.2</v>
      </c>
      <c r="O72" s="5" t="s">
        <v>189</v>
      </c>
      <c r="P72" s="5" t="str">
        <f t="shared" si="1"/>
        <v>OK</v>
      </c>
    </row>
    <row r="73" spans="1:16" x14ac:dyDescent="0.3">
      <c r="A73" s="8" t="s">
        <v>339</v>
      </c>
      <c r="B73" s="8" t="s">
        <v>157</v>
      </c>
      <c r="C73" s="8" t="s">
        <v>237</v>
      </c>
      <c r="D73" s="8" t="s">
        <v>340</v>
      </c>
      <c r="E73" s="8" t="s">
        <v>88</v>
      </c>
      <c r="F73" s="8" t="s">
        <v>75</v>
      </c>
      <c r="G73" s="8">
        <v>6.7</v>
      </c>
      <c r="H73" s="8">
        <v>49</v>
      </c>
      <c r="I73" s="8">
        <v>123.64</v>
      </c>
      <c r="J73" s="8">
        <v>1.2</v>
      </c>
      <c r="K73" s="8">
        <v>148.37</v>
      </c>
      <c r="L73" s="8" t="s">
        <v>214</v>
      </c>
      <c r="M73" s="8">
        <v>4.5999999999999996</v>
      </c>
      <c r="N73" s="8">
        <v>5.8</v>
      </c>
      <c r="O73" s="8" t="s">
        <v>189</v>
      </c>
      <c r="P73" s="8" t="str">
        <f t="shared" si="1"/>
        <v>OK</v>
      </c>
    </row>
    <row r="74" spans="1:16" x14ac:dyDescent="0.3">
      <c r="A74" s="5" t="s">
        <v>341</v>
      </c>
      <c r="B74" s="5" t="s">
        <v>116</v>
      </c>
      <c r="C74" s="5" t="s">
        <v>284</v>
      </c>
      <c r="D74" s="5" t="s">
        <v>342</v>
      </c>
      <c r="E74" s="5" t="s">
        <v>81</v>
      </c>
      <c r="F74" s="5" t="s">
        <v>82</v>
      </c>
      <c r="G74" s="5">
        <v>38.200000000000003</v>
      </c>
      <c r="H74" s="5">
        <v>181</v>
      </c>
      <c r="I74" s="5">
        <v>729.17</v>
      </c>
      <c r="J74" s="5">
        <v>1.8</v>
      </c>
      <c r="K74" s="5">
        <v>1312.51</v>
      </c>
      <c r="L74" s="5" t="s">
        <v>207</v>
      </c>
      <c r="M74" s="5">
        <v>2.5</v>
      </c>
      <c r="N74" s="5">
        <v>21.8</v>
      </c>
      <c r="O74" s="5" t="s">
        <v>189</v>
      </c>
      <c r="P74" s="5" t="str">
        <f t="shared" si="1"/>
        <v>OK</v>
      </c>
    </row>
    <row r="75" spans="1:16" x14ac:dyDescent="0.3">
      <c r="A75" s="8" t="s">
        <v>343</v>
      </c>
      <c r="B75" s="8" t="s">
        <v>154</v>
      </c>
      <c r="C75" s="8" t="s">
        <v>272</v>
      </c>
      <c r="D75" s="8" t="s">
        <v>263</v>
      </c>
      <c r="E75" s="8" t="s">
        <v>92</v>
      </c>
      <c r="F75" s="8" t="s">
        <v>105</v>
      </c>
      <c r="G75" s="8">
        <v>54.5</v>
      </c>
      <c r="H75" s="8">
        <v>251</v>
      </c>
      <c r="I75" s="8">
        <v>611.41</v>
      </c>
      <c r="J75" s="8">
        <v>2</v>
      </c>
      <c r="K75" s="8">
        <v>1222.82</v>
      </c>
      <c r="L75" s="8" t="s">
        <v>214</v>
      </c>
      <c r="M75" s="8">
        <v>4.0999999999999996</v>
      </c>
      <c r="N75" s="8">
        <v>15.9</v>
      </c>
      <c r="O75" s="8" t="s">
        <v>189</v>
      </c>
      <c r="P75" s="8" t="str">
        <f t="shared" si="1"/>
        <v>OK</v>
      </c>
    </row>
    <row r="76" spans="1:16" x14ac:dyDescent="0.3">
      <c r="A76" s="5" t="s">
        <v>344</v>
      </c>
      <c r="B76" s="5" t="s">
        <v>144</v>
      </c>
      <c r="C76" s="5" t="s">
        <v>276</v>
      </c>
      <c r="D76" s="5" t="s">
        <v>345</v>
      </c>
      <c r="E76" s="5" t="s">
        <v>60</v>
      </c>
      <c r="F76" s="5" t="s">
        <v>61</v>
      </c>
      <c r="G76" s="5">
        <v>21.5</v>
      </c>
      <c r="H76" s="5">
        <v>86</v>
      </c>
      <c r="I76" s="5">
        <v>379.46</v>
      </c>
      <c r="J76" s="5">
        <v>1</v>
      </c>
      <c r="K76" s="5">
        <v>379.46</v>
      </c>
      <c r="L76" s="5" t="s">
        <v>214</v>
      </c>
      <c r="M76" s="5">
        <v>4.4000000000000004</v>
      </c>
      <c r="N76" s="5">
        <v>5.2</v>
      </c>
      <c r="O76" s="5" t="s">
        <v>189</v>
      </c>
      <c r="P76" s="5" t="str">
        <f t="shared" si="1"/>
        <v>OK</v>
      </c>
    </row>
    <row r="77" spans="1:16" x14ac:dyDescent="0.3">
      <c r="A77" s="8" t="s">
        <v>346</v>
      </c>
      <c r="B77" s="8" t="s">
        <v>84</v>
      </c>
      <c r="C77" s="8" t="s">
        <v>235</v>
      </c>
      <c r="D77" s="8" t="s">
        <v>217</v>
      </c>
      <c r="E77" s="8" t="s">
        <v>88</v>
      </c>
      <c r="F77" s="8" t="s">
        <v>82</v>
      </c>
      <c r="G77" s="8">
        <v>54.3</v>
      </c>
      <c r="H77" s="8">
        <v>181</v>
      </c>
      <c r="I77" s="8">
        <v>746.04</v>
      </c>
      <c r="J77" s="8">
        <v>2</v>
      </c>
      <c r="K77" s="8">
        <v>1492.08</v>
      </c>
      <c r="L77" s="8" t="s">
        <v>214</v>
      </c>
      <c r="M77" s="8">
        <v>4.5</v>
      </c>
      <c r="N77" s="8">
        <v>12.2</v>
      </c>
      <c r="O77" s="8" t="s">
        <v>189</v>
      </c>
      <c r="P77" s="8" t="str">
        <f t="shared" si="1"/>
        <v>OK</v>
      </c>
    </row>
    <row r="78" spans="1:16" x14ac:dyDescent="0.3">
      <c r="A78" s="5" t="s">
        <v>347</v>
      </c>
      <c r="B78" s="5" t="s">
        <v>70</v>
      </c>
      <c r="C78" s="5" t="s">
        <v>348</v>
      </c>
      <c r="D78" s="5" t="s">
        <v>124</v>
      </c>
      <c r="E78" s="5" t="s">
        <v>92</v>
      </c>
      <c r="F78" s="5" t="s">
        <v>105</v>
      </c>
      <c r="G78" s="5">
        <v>62.9</v>
      </c>
      <c r="H78" s="5">
        <v>269</v>
      </c>
      <c r="I78" s="5">
        <v>1050.54</v>
      </c>
      <c r="J78" s="5">
        <v>1</v>
      </c>
      <c r="K78" s="5">
        <v>1050.54</v>
      </c>
      <c r="L78" s="5" t="s">
        <v>214</v>
      </c>
      <c r="M78" s="5"/>
      <c r="N78" s="5">
        <v>4</v>
      </c>
      <c r="O78" s="5" t="s">
        <v>211</v>
      </c>
      <c r="P78" s="5" t="str">
        <f t="shared" si="1"/>
        <v>OK</v>
      </c>
    </row>
    <row r="79" spans="1:16" x14ac:dyDescent="0.3">
      <c r="A79" s="8" t="s">
        <v>349</v>
      </c>
      <c r="B79" s="8" t="s">
        <v>113</v>
      </c>
      <c r="C79" s="8" t="s">
        <v>350</v>
      </c>
      <c r="D79" s="8" t="s">
        <v>198</v>
      </c>
      <c r="E79" s="8" t="s">
        <v>81</v>
      </c>
      <c r="F79" s="8" t="s">
        <v>82</v>
      </c>
      <c r="G79" s="8">
        <v>8.8000000000000007</v>
      </c>
      <c r="H79" s="8">
        <v>31</v>
      </c>
      <c r="I79" s="8">
        <v>198.21</v>
      </c>
      <c r="J79" s="8">
        <v>1.5</v>
      </c>
      <c r="K79" s="8">
        <v>297.31</v>
      </c>
      <c r="L79" s="8" t="s">
        <v>214</v>
      </c>
      <c r="M79" s="8"/>
      <c r="N79" s="8">
        <v>6.3</v>
      </c>
      <c r="O79" s="8" t="s">
        <v>211</v>
      </c>
      <c r="P79" s="8" t="str">
        <f t="shared" si="1"/>
        <v>OK</v>
      </c>
    </row>
    <row r="80" spans="1:16" x14ac:dyDescent="0.3">
      <c r="A80" s="5" t="s">
        <v>351</v>
      </c>
      <c r="B80" s="5" t="s">
        <v>70</v>
      </c>
      <c r="C80" s="5" t="s">
        <v>203</v>
      </c>
      <c r="D80" s="5" t="s">
        <v>268</v>
      </c>
      <c r="E80" s="5" t="s">
        <v>74</v>
      </c>
      <c r="F80" s="5" t="s">
        <v>105</v>
      </c>
      <c r="G80" s="5">
        <v>9.4</v>
      </c>
      <c r="H80" s="5">
        <v>30</v>
      </c>
      <c r="I80" s="5">
        <v>218.82</v>
      </c>
      <c r="J80" s="5">
        <v>1</v>
      </c>
      <c r="K80" s="5">
        <v>218.82</v>
      </c>
      <c r="L80" s="5" t="s">
        <v>199</v>
      </c>
      <c r="M80" s="5">
        <v>4.7</v>
      </c>
      <c r="N80" s="5">
        <v>4.3</v>
      </c>
      <c r="O80" s="5" t="s">
        <v>189</v>
      </c>
      <c r="P80" s="5" t="str">
        <f t="shared" si="1"/>
        <v>OK</v>
      </c>
    </row>
    <row r="81" spans="1:16" x14ac:dyDescent="0.3">
      <c r="A81" s="8" t="s">
        <v>352</v>
      </c>
      <c r="B81" s="8" t="s">
        <v>122</v>
      </c>
      <c r="C81" s="8" t="s">
        <v>353</v>
      </c>
      <c r="D81" s="8" t="s">
        <v>354</v>
      </c>
      <c r="E81" s="8" t="s">
        <v>92</v>
      </c>
      <c r="F81" s="8" t="s">
        <v>75</v>
      </c>
      <c r="G81" s="8">
        <v>57.8</v>
      </c>
      <c r="H81" s="8">
        <v>238</v>
      </c>
      <c r="I81" s="8">
        <v>868.25</v>
      </c>
      <c r="J81" s="8">
        <v>1</v>
      </c>
      <c r="K81" s="8">
        <v>868.25</v>
      </c>
      <c r="L81" s="8" t="s">
        <v>199</v>
      </c>
      <c r="M81" s="8">
        <v>3</v>
      </c>
      <c r="N81" s="8">
        <v>11.7</v>
      </c>
      <c r="O81" s="8" t="s">
        <v>189</v>
      </c>
      <c r="P81" s="8" t="str">
        <f t="shared" si="1"/>
        <v>OK</v>
      </c>
    </row>
    <row r="82" spans="1:16" x14ac:dyDescent="0.3">
      <c r="A82" s="5" t="s">
        <v>355</v>
      </c>
      <c r="B82" s="5" t="s">
        <v>98</v>
      </c>
      <c r="C82" s="5" t="s">
        <v>353</v>
      </c>
      <c r="D82" s="5" t="s">
        <v>166</v>
      </c>
      <c r="E82" s="5" t="s">
        <v>74</v>
      </c>
      <c r="F82" s="5" t="s">
        <v>82</v>
      </c>
      <c r="G82" s="5">
        <v>5.8</v>
      </c>
      <c r="H82" s="5">
        <v>37</v>
      </c>
      <c r="I82" s="5">
        <v>151.44</v>
      </c>
      <c r="J82" s="5">
        <v>2</v>
      </c>
      <c r="K82" s="5">
        <v>302.88</v>
      </c>
      <c r="L82" s="5" t="s">
        <v>207</v>
      </c>
      <c r="M82" s="5">
        <v>4.2</v>
      </c>
      <c r="N82" s="5">
        <v>16.399999999999999</v>
      </c>
      <c r="O82" s="5" t="s">
        <v>189</v>
      </c>
      <c r="P82" s="5" t="str">
        <f t="shared" si="1"/>
        <v>OK</v>
      </c>
    </row>
    <row r="83" spans="1:16" x14ac:dyDescent="0.3">
      <c r="A83" s="8" t="s">
        <v>356</v>
      </c>
      <c r="B83" s="8" t="s">
        <v>138</v>
      </c>
      <c r="C83" s="8" t="s">
        <v>287</v>
      </c>
      <c r="D83" s="8" t="s">
        <v>357</v>
      </c>
      <c r="E83" s="8" t="s">
        <v>74</v>
      </c>
      <c r="F83" s="8" t="s">
        <v>75</v>
      </c>
      <c r="G83" s="8">
        <v>64.3</v>
      </c>
      <c r="H83" s="8">
        <v>270</v>
      </c>
      <c r="I83" s="8">
        <v>1097.97</v>
      </c>
      <c r="J83" s="8">
        <v>1.5</v>
      </c>
      <c r="K83" s="8">
        <v>1646.95</v>
      </c>
      <c r="L83" s="8" t="s">
        <v>192</v>
      </c>
      <c r="M83" s="8"/>
      <c r="N83" s="8">
        <v>6.2</v>
      </c>
      <c r="O83" s="8" t="s">
        <v>211</v>
      </c>
      <c r="P83" s="8" t="str">
        <f t="shared" si="1"/>
        <v>OK</v>
      </c>
    </row>
    <row r="84" spans="1:16" x14ac:dyDescent="0.3">
      <c r="A84" s="5" t="s">
        <v>358</v>
      </c>
      <c r="B84" s="5" t="s">
        <v>164</v>
      </c>
      <c r="C84" s="5" t="s">
        <v>226</v>
      </c>
      <c r="D84" s="5" t="s">
        <v>252</v>
      </c>
      <c r="E84" s="5" t="s">
        <v>68</v>
      </c>
      <c r="F84" s="5" t="s">
        <v>61</v>
      </c>
      <c r="G84" s="5">
        <v>19.5</v>
      </c>
      <c r="H84" s="5">
        <v>107</v>
      </c>
      <c r="I84" s="5">
        <v>311.33999999999997</v>
      </c>
      <c r="J84" s="5">
        <v>2</v>
      </c>
      <c r="K84" s="5">
        <v>622.67999999999995</v>
      </c>
      <c r="L84" s="5" t="s">
        <v>192</v>
      </c>
      <c r="M84" s="5">
        <v>4.2</v>
      </c>
      <c r="N84" s="5">
        <v>1.6</v>
      </c>
      <c r="O84" s="5" t="s">
        <v>189</v>
      </c>
      <c r="P84" s="5" t="str">
        <f t="shared" si="1"/>
        <v>OK</v>
      </c>
    </row>
    <row r="85" spans="1:16" x14ac:dyDescent="0.3">
      <c r="A85" s="8" t="s">
        <v>359</v>
      </c>
      <c r="B85" s="8" t="s">
        <v>54</v>
      </c>
      <c r="C85" s="8" t="s">
        <v>360</v>
      </c>
      <c r="D85" s="8" t="s">
        <v>361</v>
      </c>
      <c r="E85" s="8" t="s">
        <v>74</v>
      </c>
      <c r="F85" s="8" t="s">
        <v>61</v>
      </c>
      <c r="G85" s="8">
        <v>13</v>
      </c>
      <c r="H85" s="8">
        <v>50</v>
      </c>
      <c r="I85" s="8">
        <v>222.39</v>
      </c>
      <c r="J85" s="8">
        <v>1.8</v>
      </c>
      <c r="K85" s="8">
        <v>400.3</v>
      </c>
      <c r="L85" s="8" t="s">
        <v>199</v>
      </c>
      <c r="M85" s="8">
        <v>3.6</v>
      </c>
      <c r="N85" s="8">
        <v>9.6999999999999993</v>
      </c>
      <c r="O85" s="8" t="s">
        <v>189</v>
      </c>
      <c r="P85" s="8" t="str">
        <f t="shared" si="1"/>
        <v>OK</v>
      </c>
    </row>
    <row r="86" spans="1:16" x14ac:dyDescent="0.3">
      <c r="A86" s="5" t="s">
        <v>362</v>
      </c>
      <c r="B86" s="5" t="s">
        <v>135</v>
      </c>
      <c r="C86" s="5" t="s">
        <v>232</v>
      </c>
      <c r="D86" s="5" t="s">
        <v>363</v>
      </c>
      <c r="E86" s="5" t="s">
        <v>68</v>
      </c>
      <c r="F86" s="5" t="s">
        <v>61</v>
      </c>
      <c r="G86" s="5">
        <v>47.8</v>
      </c>
      <c r="H86" s="5">
        <v>221</v>
      </c>
      <c r="I86" s="5">
        <v>576.58000000000004</v>
      </c>
      <c r="J86" s="5">
        <v>1.8</v>
      </c>
      <c r="K86" s="5">
        <v>1037.8399999999999</v>
      </c>
      <c r="L86" s="5" t="s">
        <v>199</v>
      </c>
      <c r="M86" s="5">
        <v>5</v>
      </c>
      <c r="N86" s="5">
        <v>21.3</v>
      </c>
      <c r="O86" s="5" t="s">
        <v>189</v>
      </c>
      <c r="P86" s="5" t="str">
        <f t="shared" si="1"/>
        <v>OK</v>
      </c>
    </row>
    <row r="87" spans="1:16" x14ac:dyDescent="0.3">
      <c r="A87" s="8" t="s">
        <v>364</v>
      </c>
      <c r="B87" s="8" t="s">
        <v>119</v>
      </c>
      <c r="C87" s="8" t="s">
        <v>350</v>
      </c>
      <c r="D87" s="8" t="s">
        <v>365</v>
      </c>
      <c r="E87" s="8" t="s">
        <v>92</v>
      </c>
      <c r="F87" s="8" t="s">
        <v>105</v>
      </c>
      <c r="G87" s="8">
        <v>6.6</v>
      </c>
      <c r="H87" s="8">
        <v>32</v>
      </c>
      <c r="I87" s="8">
        <v>107.14</v>
      </c>
      <c r="J87" s="8">
        <v>1</v>
      </c>
      <c r="K87" s="8">
        <v>107.14</v>
      </c>
      <c r="L87" s="8" t="s">
        <v>188</v>
      </c>
      <c r="M87" s="8"/>
      <c r="N87" s="8">
        <v>14.2</v>
      </c>
      <c r="O87" s="8" t="s">
        <v>211</v>
      </c>
      <c r="P87" s="8" t="str">
        <f t="shared" si="1"/>
        <v>OK</v>
      </c>
    </row>
    <row r="88" spans="1:16" x14ac:dyDescent="0.3">
      <c r="A88" s="5" t="s">
        <v>366</v>
      </c>
      <c r="B88" s="5" t="s">
        <v>110</v>
      </c>
      <c r="C88" s="5" t="s">
        <v>331</v>
      </c>
      <c r="D88" s="5" t="s">
        <v>160</v>
      </c>
      <c r="E88" s="5" t="s">
        <v>88</v>
      </c>
      <c r="F88" s="5" t="s">
        <v>105</v>
      </c>
      <c r="G88" s="5">
        <v>8.1999999999999993</v>
      </c>
      <c r="H88" s="5">
        <v>50</v>
      </c>
      <c r="I88" s="5">
        <v>168.98</v>
      </c>
      <c r="J88" s="5">
        <v>2</v>
      </c>
      <c r="K88" s="5">
        <v>337.96</v>
      </c>
      <c r="L88" s="5" t="s">
        <v>188</v>
      </c>
      <c r="M88" s="5">
        <v>3.6</v>
      </c>
      <c r="N88" s="5">
        <v>22.3</v>
      </c>
      <c r="O88" s="5" t="s">
        <v>189</v>
      </c>
      <c r="P88" s="5" t="str">
        <f t="shared" si="1"/>
        <v>OK</v>
      </c>
    </row>
    <row r="89" spans="1:16" x14ac:dyDescent="0.3">
      <c r="A89" s="8" t="s">
        <v>367</v>
      </c>
      <c r="B89" s="8" t="s">
        <v>119</v>
      </c>
      <c r="C89" s="8" t="s">
        <v>194</v>
      </c>
      <c r="D89" s="8" t="s">
        <v>368</v>
      </c>
      <c r="E89" s="8" t="s">
        <v>81</v>
      </c>
      <c r="F89" s="8" t="s">
        <v>61</v>
      </c>
      <c r="G89" s="8">
        <v>21.7</v>
      </c>
      <c r="H89" s="8">
        <v>77</v>
      </c>
      <c r="I89" s="8">
        <v>430.53</v>
      </c>
      <c r="J89" s="8">
        <v>1.8</v>
      </c>
      <c r="K89" s="8">
        <v>774.95</v>
      </c>
      <c r="L89" s="8" t="s">
        <v>207</v>
      </c>
      <c r="M89" s="8">
        <v>2.7</v>
      </c>
      <c r="N89" s="8">
        <v>3</v>
      </c>
      <c r="O89" s="8" t="s">
        <v>189</v>
      </c>
      <c r="P89" s="8" t="str">
        <f t="shared" si="1"/>
        <v>OK</v>
      </c>
    </row>
    <row r="90" spans="1:16" x14ac:dyDescent="0.3">
      <c r="A90" s="5" t="s">
        <v>369</v>
      </c>
      <c r="B90" s="5" t="s">
        <v>119</v>
      </c>
      <c r="C90" s="5" t="s">
        <v>232</v>
      </c>
      <c r="D90" s="5" t="s">
        <v>370</v>
      </c>
      <c r="E90" s="5" t="s">
        <v>68</v>
      </c>
      <c r="F90" s="5" t="s">
        <v>61</v>
      </c>
      <c r="G90" s="5">
        <v>38.9</v>
      </c>
      <c r="H90" s="5">
        <v>151</v>
      </c>
      <c r="I90" s="5">
        <v>408.75</v>
      </c>
      <c r="J90" s="5">
        <v>1</v>
      </c>
      <c r="K90" s="5">
        <v>408.75</v>
      </c>
      <c r="L90" s="5" t="s">
        <v>207</v>
      </c>
      <c r="M90" s="5">
        <v>4.9000000000000004</v>
      </c>
      <c r="N90" s="5">
        <v>15.4</v>
      </c>
      <c r="O90" s="5" t="s">
        <v>189</v>
      </c>
      <c r="P90" s="5" t="str">
        <f t="shared" si="1"/>
        <v>OK</v>
      </c>
    </row>
    <row r="91" spans="1:16" x14ac:dyDescent="0.3">
      <c r="A91" s="8" t="s">
        <v>371</v>
      </c>
      <c r="B91" s="8" t="s">
        <v>113</v>
      </c>
      <c r="C91" s="8" t="s">
        <v>232</v>
      </c>
      <c r="D91" s="8" t="s">
        <v>153</v>
      </c>
      <c r="E91" s="8" t="s">
        <v>92</v>
      </c>
      <c r="F91" s="8" t="s">
        <v>105</v>
      </c>
      <c r="G91" s="8">
        <v>16.100000000000001</v>
      </c>
      <c r="H91" s="8">
        <v>61</v>
      </c>
      <c r="I91" s="8">
        <v>237.98</v>
      </c>
      <c r="J91" s="8">
        <v>2</v>
      </c>
      <c r="K91" s="8">
        <v>475.96</v>
      </c>
      <c r="L91" s="8" t="s">
        <v>214</v>
      </c>
      <c r="M91" s="8"/>
      <c r="N91" s="8">
        <v>6.4</v>
      </c>
      <c r="O91" s="8" t="s">
        <v>211</v>
      </c>
      <c r="P91" s="8" t="str">
        <f t="shared" si="1"/>
        <v>OK</v>
      </c>
    </row>
    <row r="92" spans="1:16" x14ac:dyDescent="0.3">
      <c r="A92" s="5" t="s">
        <v>372</v>
      </c>
      <c r="B92" s="5" t="s">
        <v>119</v>
      </c>
      <c r="C92" s="5" t="s">
        <v>254</v>
      </c>
      <c r="D92" s="5" t="s">
        <v>263</v>
      </c>
      <c r="E92" s="5" t="s">
        <v>92</v>
      </c>
      <c r="F92" s="5" t="s">
        <v>82</v>
      </c>
      <c r="G92" s="5">
        <v>3.8</v>
      </c>
      <c r="H92" s="5">
        <v>28</v>
      </c>
      <c r="I92" s="5">
        <v>115.42</v>
      </c>
      <c r="J92" s="5">
        <v>1</v>
      </c>
      <c r="K92" s="5">
        <v>115.42</v>
      </c>
      <c r="L92" s="5" t="s">
        <v>199</v>
      </c>
      <c r="M92" s="5">
        <v>4.7</v>
      </c>
      <c r="N92" s="5">
        <v>14.6</v>
      </c>
      <c r="O92" s="5" t="s">
        <v>189</v>
      </c>
      <c r="P92" s="5" t="str">
        <f t="shared" si="1"/>
        <v>OK</v>
      </c>
    </row>
    <row r="93" spans="1:16" x14ac:dyDescent="0.3">
      <c r="A93" s="8" t="s">
        <v>373</v>
      </c>
      <c r="B93" s="8" t="s">
        <v>116</v>
      </c>
      <c r="C93" s="8" t="s">
        <v>246</v>
      </c>
      <c r="D93" s="8" t="s">
        <v>304</v>
      </c>
      <c r="E93" s="8" t="s">
        <v>92</v>
      </c>
      <c r="F93" s="8" t="s">
        <v>61</v>
      </c>
      <c r="G93" s="8">
        <v>7.8</v>
      </c>
      <c r="H93" s="8">
        <v>38</v>
      </c>
      <c r="I93" s="8">
        <v>147.78</v>
      </c>
      <c r="J93" s="8">
        <v>1</v>
      </c>
      <c r="K93" s="8">
        <v>147.78</v>
      </c>
      <c r="L93" s="8" t="s">
        <v>214</v>
      </c>
      <c r="M93" s="8">
        <v>4.3</v>
      </c>
      <c r="N93" s="8">
        <v>19.600000000000001</v>
      </c>
      <c r="O93" s="8" t="s">
        <v>189</v>
      </c>
      <c r="P93" s="8" t="str">
        <f t="shared" si="1"/>
        <v>OK</v>
      </c>
    </row>
    <row r="94" spans="1:16" x14ac:dyDescent="0.3">
      <c r="A94" s="5" t="s">
        <v>374</v>
      </c>
      <c r="B94" s="5" t="s">
        <v>135</v>
      </c>
      <c r="C94" s="5" t="s">
        <v>375</v>
      </c>
      <c r="D94" s="5" t="s">
        <v>376</v>
      </c>
      <c r="E94" s="5" t="s">
        <v>68</v>
      </c>
      <c r="F94" s="5" t="s">
        <v>75</v>
      </c>
      <c r="G94" s="5">
        <v>49.5</v>
      </c>
      <c r="H94" s="5">
        <v>135</v>
      </c>
      <c r="I94" s="5">
        <v>665.34</v>
      </c>
      <c r="J94" s="5">
        <v>1.2</v>
      </c>
      <c r="K94" s="5">
        <v>798.41</v>
      </c>
      <c r="L94" s="5" t="s">
        <v>207</v>
      </c>
      <c r="M94" s="5"/>
      <c r="N94" s="5">
        <v>11.6</v>
      </c>
      <c r="O94" s="5" t="s">
        <v>211</v>
      </c>
      <c r="P94" s="5" t="str">
        <f t="shared" si="1"/>
        <v>OK</v>
      </c>
    </row>
    <row r="95" spans="1:16" x14ac:dyDescent="0.3">
      <c r="A95" s="8" t="s">
        <v>377</v>
      </c>
      <c r="B95" s="8" t="s">
        <v>102</v>
      </c>
      <c r="C95" s="8" t="s">
        <v>378</v>
      </c>
      <c r="D95" s="8" t="s">
        <v>285</v>
      </c>
      <c r="E95" s="8" t="s">
        <v>81</v>
      </c>
      <c r="F95" s="8" t="s">
        <v>61</v>
      </c>
      <c r="G95" s="8">
        <v>19.8</v>
      </c>
      <c r="H95" s="8">
        <v>89</v>
      </c>
      <c r="I95" s="8">
        <v>340.49</v>
      </c>
      <c r="J95" s="8">
        <v>1</v>
      </c>
      <c r="K95" s="8">
        <v>340.49</v>
      </c>
      <c r="L95" s="8" t="s">
        <v>192</v>
      </c>
      <c r="M95" s="8">
        <v>5</v>
      </c>
      <c r="N95" s="8">
        <v>2.2999999999999998</v>
      </c>
      <c r="O95" s="8" t="s">
        <v>189</v>
      </c>
      <c r="P95" s="8" t="str">
        <f t="shared" si="1"/>
        <v>OK</v>
      </c>
    </row>
    <row r="96" spans="1:16" x14ac:dyDescent="0.3">
      <c r="A96" s="5" t="s">
        <v>379</v>
      </c>
      <c r="B96" s="5" t="s">
        <v>94</v>
      </c>
      <c r="C96" s="5" t="s">
        <v>306</v>
      </c>
      <c r="D96" s="5" t="s">
        <v>380</v>
      </c>
      <c r="E96" s="5" t="s">
        <v>68</v>
      </c>
      <c r="F96" s="5" t="s">
        <v>82</v>
      </c>
      <c r="G96" s="5">
        <v>20.2</v>
      </c>
      <c r="H96" s="5">
        <v>68</v>
      </c>
      <c r="I96" s="5">
        <v>298.58999999999997</v>
      </c>
      <c r="J96" s="5">
        <v>1</v>
      </c>
      <c r="K96" s="5">
        <v>298.58999999999997</v>
      </c>
      <c r="L96" s="5" t="s">
        <v>207</v>
      </c>
      <c r="M96" s="5"/>
      <c r="N96" s="5">
        <v>17.899999999999999</v>
      </c>
      <c r="O96" s="5" t="s">
        <v>211</v>
      </c>
      <c r="P96" s="5" t="str">
        <f t="shared" si="1"/>
        <v>OK</v>
      </c>
    </row>
    <row r="97" spans="1:16" x14ac:dyDescent="0.3">
      <c r="A97" s="8" t="s">
        <v>381</v>
      </c>
      <c r="B97" s="8" t="s">
        <v>128</v>
      </c>
      <c r="C97" s="8" t="s">
        <v>254</v>
      </c>
      <c r="D97" s="8" t="s">
        <v>382</v>
      </c>
      <c r="E97" s="8" t="s">
        <v>81</v>
      </c>
      <c r="F97" s="8" t="s">
        <v>61</v>
      </c>
      <c r="G97" s="8">
        <v>29.5</v>
      </c>
      <c r="H97" s="8">
        <v>107</v>
      </c>
      <c r="I97" s="8">
        <v>378.35</v>
      </c>
      <c r="J97" s="8">
        <v>1.2</v>
      </c>
      <c r="K97" s="8">
        <v>454.02</v>
      </c>
      <c r="L97" s="8" t="s">
        <v>188</v>
      </c>
      <c r="M97" s="8">
        <v>4.3</v>
      </c>
      <c r="N97" s="8">
        <v>11</v>
      </c>
      <c r="O97" s="8" t="s">
        <v>189</v>
      </c>
      <c r="P97" s="8" t="str">
        <f t="shared" si="1"/>
        <v>OK</v>
      </c>
    </row>
    <row r="98" spans="1:16" x14ac:dyDescent="0.3">
      <c r="A98" s="5" t="s">
        <v>383</v>
      </c>
      <c r="B98" s="5" t="s">
        <v>77</v>
      </c>
      <c r="C98" s="5" t="s">
        <v>384</v>
      </c>
      <c r="D98" s="5" t="s">
        <v>385</v>
      </c>
      <c r="E98" s="5" t="s">
        <v>68</v>
      </c>
      <c r="F98" s="5" t="s">
        <v>105</v>
      </c>
      <c r="G98" s="5">
        <v>54.4</v>
      </c>
      <c r="H98" s="5">
        <v>242</v>
      </c>
      <c r="I98" s="5">
        <v>944.6</v>
      </c>
      <c r="J98" s="5">
        <v>1</v>
      </c>
      <c r="K98" s="5">
        <v>944.6</v>
      </c>
      <c r="L98" s="5" t="s">
        <v>207</v>
      </c>
      <c r="M98" s="5"/>
      <c r="N98" s="5">
        <v>10.6</v>
      </c>
      <c r="O98" s="5" t="s">
        <v>211</v>
      </c>
      <c r="P98" s="5" t="str">
        <f t="shared" si="1"/>
        <v>OK</v>
      </c>
    </row>
    <row r="99" spans="1:16" x14ac:dyDescent="0.3">
      <c r="A99" s="8" t="s">
        <v>386</v>
      </c>
      <c r="B99" s="8" t="s">
        <v>70</v>
      </c>
      <c r="C99" s="8" t="s">
        <v>384</v>
      </c>
      <c r="D99" s="8" t="s">
        <v>387</v>
      </c>
      <c r="E99" s="8" t="s">
        <v>74</v>
      </c>
      <c r="F99" s="8" t="s">
        <v>75</v>
      </c>
      <c r="G99" s="8">
        <v>23</v>
      </c>
      <c r="H99" s="8">
        <v>78</v>
      </c>
      <c r="I99" s="8">
        <v>260.23</v>
      </c>
      <c r="J99" s="8">
        <v>1.5</v>
      </c>
      <c r="K99" s="8">
        <v>390.35</v>
      </c>
      <c r="L99" s="8" t="s">
        <v>192</v>
      </c>
      <c r="M99" s="8">
        <v>3.4</v>
      </c>
      <c r="N99" s="8">
        <v>24</v>
      </c>
      <c r="O99" s="8" t="s">
        <v>189</v>
      </c>
      <c r="P99" s="8" t="str">
        <f t="shared" si="1"/>
        <v>OK</v>
      </c>
    </row>
    <row r="100" spans="1:16" x14ac:dyDescent="0.3">
      <c r="A100" s="5" t="s">
        <v>388</v>
      </c>
      <c r="B100" s="5" t="s">
        <v>141</v>
      </c>
      <c r="C100" s="5" t="s">
        <v>348</v>
      </c>
      <c r="D100" s="5" t="s">
        <v>312</v>
      </c>
      <c r="E100" s="5" t="s">
        <v>68</v>
      </c>
      <c r="F100" s="5" t="s">
        <v>82</v>
      </c>
      <c r="G100" s="5">
        <v>14.4</v>
      </c>
      <c r="H100" s="5">
        <v>70</v>
      </c>
      <c r="I100" s="5">
        <v>259.58999999999997</v>
      </c>
      <c r="J100" s="5">
        <v>1</v>
      </c>
      <c r="K100" s="5">
        <v>259.58999999999997</v>
      </c>
      <c r="L100" s="5" t="s">
        <v>207</v>
      </c>
      <c r="M100" s="5">
        <v>4.4000000000000004</v>
      </c>
      <c r="N100" s="5">
        <v>19.2</v>
      </c>
      <c r="O100" s="5" t="s">
        <v>189</v>
      </c>
      <c r="P100" s="5" t="str">
        <f t="shared" si="1"/>
        <v>OK</v>
      </c>
    </row>
    <row r="101" spans="1:16" x14ac:dyDescent="0.3">
      <c r="A101" s="8" t="s">
        <v>389</v>
      </c>
      <c r="B101" s="8" t="s">
        <v>122</v>
      </c>
      <c r="C101" s="8" t="s">
        <v>350</v>
      </c>
      <c r="D101" s="8" t="s">
        <v>296</v>
      </c>
      <c r="E101" s="8" t="s">
        <v>92</v>
      </c>
      <c r="F101" s="8" t="s">
        <v>82</v>
      </c>
      <c r="G101" s="8">
        <v>11.5</v>
      </c>
      <c r="H101" s="8">
        <v>42</v>
      </c>
      <c r="I101" s="8">
        <v>176.82</v>
      </c>
      <c r="J101" s="8">
        <v>1</v>
      </c>
      <c r="K101" s="8">
        <v>176.82</v>
      </c>
      <c r="L101" s="8" t="s">
        <v>188</v>
      </c>
      <c r="M101" s="8">
        <v>3.4</v>
      </c>
      <c r="N101" s="8">
        <v>2.8</v>
      </c>
      <c r="O101" s="8" t="s">
        <v>189</v>
      </c>
      <c r="P101" s="8" t="str">
        <f t="shared" si="1"/>
        <v>OK</v>
      </c>
    </row>
  </sheetData>
  <autoFilter ref="A1:P101" xr:uid="{00000000-0001-0000-02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M51"/>
  <sheetViews>
    <sheetView topLeftCell="D1" zoomScale="103" workbookViewId="0">
      <selection activeCell="D1" sqref="D1:M47"/>
    </sheetView>
  </sheetViews>
  <sheetFormatPr defaultRowHeight="14.4" x14ac:dyDescent="0.3"/>
  <cols>
    <col min="1" max="1" width="13" customWidth="1"/>
    <col min="2" max="2" width="21" customWidth="1"/>
    <col min="3" max="3" width="7" customWidth="1"/>
    <col min="4" max="4" width="13" customWidth="1"/>
    <col min="5" max="5" width="16" customWidth="1"/>
    <col min="6" max="6" width="20" customWidth="1"/>
    <col min="7" max="7" width="15" customWidth="1"/>
    <col min="8" max="8" width="14" customWidth="1"/>
    <col min="9" max="9" width="22" customWidth="1"/>
    <col min="10" max="10" width="17" customWidth="1"/>
    <col min="11" max="13" width="14" customWidth="1"/>
  </cols>
  <sheetData>
    <row r="1" spans="1:13" ht="15.6" x14ac:dyDescent="0.3">
      <c r="A1" s="4" t="s">
        <v>174</v>
      </c>
      <c r="B1" s="4" t="s">
        <v>390</v>
      </c>
      <c r="C1" s="4" t="s">
        <v>391</v>
      </c>
      <c r="D1" s="4" t="s">
        <v>47</v>
      </c>
      <c r="E1" s="4" t="s">
        <v>392</v>
      </c>
      <c r="F1" s="4" t="s">
        <v>393</v>
      </c>
      <c r="G1" s="4" t="s">
        <v>394</v>
      </c>
      <c r="H1" s="4" t="s">
        <v>395</v>
      </c>
      <c r="I1" s="4" t="s">
        <v>396</v>
      </c>
      <c r="J1" s="4" t="s">
        <v>397</v>
      </c>
      <c r="K1" s="4" t="s">
        <v>398</v>
      </c>
      <c r="L1" s="4" t="s">
        <v>46</v>
      </c>
      <c r="M1" s="4" t="s">
        <v>399</v>
      </c>
    </row>
    <row r="2" spans="1:13" hidden="1" x14ac:dyDescent="0.3">
      <c r="A2" s="5" t="s">
        <v>219</v>
      </c>
      <c r="B2" s="5" t="s">
        <v>400</v>
      </c>
      <c r="C2" s="5">
        <v>49</v>
      </c>
      <c r="D2" s="5" t="s">
        <v>81</v>
      </c>
      <c r="E2" s="5" t="s">
        <v>401</v>
      </c>
      <c r="F2" s="5">
        <v>20</v>
      </c>
      <c r="G2" s="5">
        <v>1564</v>
      </c>
      <c r="H2" s="5">
        <v>3.5</v>
      </c>
      <c r="I2" s="5">
        <v>20000</v>
      </c>
      <c r="J2" s="5">
        <v>6079</v>
      </c>
      <c r="K2" s="5">
        <v>4</v>
      </c>
      <c r="L2" s="5" t="s">
        <v>402</v>
      </c>
      <c r="M2" s="5" t="s">
        <v>403</v>
      </c>
    </row>
    <row r="3" spans="1:13" hidden="1" x14ac:dyDescent="0.3">
      <c r="A3" s="8" t="s">
        <v>287</v>
      </c>
      <c r="B3" s="8" t="s">
        <v>404</v>
      </c>
      <c r="C3" s="8">
        <v>29</v>
      </c>
      <c r="D3" s="8" t="s">
        <v>88</v>
      </c>
      <c r="E3" s="8" t="s">
        <v>405</v>
      </c>
      <c r="F3" s="8">
        <v>7</v>
      </c>
      <c r="G3" s="8">
        <v>3554</v>
      </c>
      <c r="H3" s="8">
        <v>4.4000000000000004</v>
      </c>
      <c r="I3" s="8">
        <v>28000</v>
      </c>
      <c r="J3" s="8">
        <v>1734</v>
      </c>
      <c r="K3" s="8">
        <v>5</v>
      </c>
      <c r="L3" s="8" t="s">
        <v>59</v>
      </c>
      <c r="M3" s="8" t="s">
        <v>406</v>
      </c>
    </row>
    <row r="4" spans="1:13" hidden="1" x14ac:dyDescent="0.3">
      <c r="A4" s="5" t="s">
        <v>243</v>
      </c>
      <c r="B4" s="5" t="s">
        <v>407</v>
      </c>
      <c r="C4" s="5">
        <v>53</v>
      </c>
      <c r="D4" s="5" t="s">
        <v>92</v>
      </c>
      <c r="E4" s="5" t="s">
        <v>401</v>
      </c>
      <c r="F4" s="5">
        <v>19</v>
      </c>
      <c r="G4" s="5">
        <v>2875</v>
      </c>
      <c r="H4" s="5">
        <v>3.2</v>
      </c>
      <c r="I4" s="5">
        <v>30000</v>
      </c>
      <c r="J4" s="5">
        <v>4230</v>
      </c>
      <c r="K4" s="5">
        <v>1</v>
      </c>
      <c r="L4" s="5" t="s">
        <v>59</v>
      </c>
      <c r="M4" s="5" t="s">
        <v>408</v>
      </c>
    </row>
    <row r="5" spans="1:13" x14ac:dyDescent="0.3">
      <c r="A5" s="8" t="s">
        <v>409</v>
      </c>
      <c r="B5" s="8" t="s">
        <v>410</v>
      </c>
      <c r="C5" s="8">
        <v>41</v>
      </c>
      <c r="D5" s="8" t="s">
        <v>88</v>
      </c>
      <c r="E5" s="8" t="s">
        <v>405</v>
      </c>
      <c r="F5" s="8">
        <v>14</v>
      </c>
      <c r="G5" s="8">
        <v>1769</v>
      </c>
      <c r="H5" s="8">
        <v>3.7</v>
      </c>
      <c r="I5" s="8">
        <v>28000</v>
      </c>
      <c r="J5" s="8">
        <v>647</v>
      </c>
      <c r="K5" s="8">
        <v>8</v>
      </c>
      <c r="L5" s="8" t="s">
        <v>59</v>
      </c>
      <c r="M5" s="8" t="s">
        <v>411</v>
      </c>
    </row>
    <row r="6" spans="1:13" hidden="1" x14ac:dyDescent="0.3">
      <c r="A6" s="5" t="s">
        <v>246</v>
      </c>
      <c r="B6" s="5" t="s">
        <v>412</v>
      </c>
      <c r="C6" s="5">
        <v>46</v>
      </c>
      <c r="D6" s="5" t="s">
        <v>68</v>
      </c>
      <c r="E6" s="5" t="s">
        <v>401</v>
      </c>
      <c r="F6" s="5">
        <v>6</v>
      </c>
      <c r="G6" s="5">
        <v>3718</v>
      </c>
      <c r="H6" s="5">
        <v>4.2</v>
      </c>
      <c r="I6" s="5">
        <v>20000</v>
      </c>
      <c r="J6" s="5">
        <v>7551</v>
      </c>
      <c r="K6" s="5">
        <v>2</v>
      </c>
      <c r="L6" s="5" t="s">
        <v>59</v>
      </c>
      <c r="M6" s="5" t="s">
        <v>413</v>
      </c>
    </row>
    <row r="7" spans="1:13" hidden="1" x14ac:dyDescent="0.3">
      <c r="A7" s="8" t="s">
        <v>291</v>
      </c>
      <c r="B7" s="8" t="s">
        <v>414</v>
      </c>
      <c r="C7" s="8">
        <v>54</v>
      </c>
      <c r="D7" s="8" t="s">
        <v>92</v>
      </c>
      <c r="E7" s="8" t="s">
        <v>405</v>
      </c>
      <c r="F7" s="8">
        <v>3</v>
      </c>
      <c r="G7" s="8">
        <v>3585</v>
      </c>
      <c r="H7" s="8">
        <v>4.3</v>
      </c>
      <c r="I7" s="8">
        <v>20000</v>
      </c>
      <c r="J7" s="8">
        <v>2478</v>
      </c>
      <c r="K7" s="8">
        <v>0</v>
      </c>
      <c r="L7" s="8" t="s">
        <v>59</v>
      </c>
      <c r="M7" s="8" t="s">
        <v>415</v>
      </c>
    </row>
    <row r="8" spans="1:13" hidden="1" x14ac:dyDescent="0.3">
      <c r="A8" s="5" t="s">
        <v>232</v>
      </c>
      <c r="B8" s="5" t="s">
        <v>416</v>
      </c>
      <c r="C8" s="5">
        <v>49</v>
      </c>
      <c r="D8" s="5" t="s">
        <v>68</v>
      </c>
      <c r="E8" s="5" t="s">
        <v>405</v>
      </c>
      <c r="F8" s="5">
        <v>7</v>
      </c>
      <c r="G8" s="5">
        <v>3728</v>
      </c>
      <c r="H8" s="5">
        <v>3.5</v>
      </c>
      <c r="I8" s="5">
        <v>25000</v>
      </c>
      <c r="J8" s="5">
        <v>6601</v>
      </c>
      <c r="K8" s="5">
        <v>2</v>
      </c>
      <c r="L8" s="5" t="s">
        <v>59</v>
      </c>
      <c r="M8" s="5" t="s">
        <v>417</v>
      </c>
    </row>
    <row r="9" spans="1:13" hidden="1" x14ac:dyDescent="0.3">
      <c r="A9" s="8" t="s">
        <v>186</v>
      </c>
      <c r="B9" s="8" t="s">
        <v>418</v>
      </c>
      <c r="C9" s="8">
        <v>32</v>
      </c>
      <c r="D9" s="8" t="s">
        <v>92</v>
      </c>
      <c r="E9" s="8" t="s">
        <v>401</v>
      </c>
      <c r="F9" s="8">
        <v>20</v>
      </c>
      <c r="G9" s="8">
        <v>3444</v>
      </c>
      <c r="H9" s="8">
        <v>3.2</v>
      </c>
      <c r="I9" s="8">
        <v>18000</v>
      </c>
      <c r="J9" s="8">
        <v>1149</v>
      </c>
      <c r="K9" s="8">
        <v>2</v>
      </c>
      <c r="L9" s="8" t="s">
        <v>59</v>
      </c>
      <c r="M9" s="8" t="s">
        <v>419</v>
      </c>
    </row>
    <row r="10" spans="1:13" hidden="1" x14ac:dyDescent="0.3">
      <c r="A10" s="5" t="s">
        <v>420</v>
      </c>
      <c r="B10" s="5" t="s">
        <v>421</v>
      </c>
      <c r="C10" s="5">
        <v>44</v>
      </c>
      <c r="D10" s="5" t="s">
        <v>81</v>
      </c>
      <c r="E10" s="5" t="s">
        <v>401</v>
      </c>
      <c r="F10" s="5">
        <v>9</v>
      </c>
      <c r="G10" s="5">
        <v>1060</v>
      </c>
      <c r="H10" s="5">
        <v>4.7</v>
      </c>
      <c r="I10" s="5">
        <v>22000</v>
      </c>
      <c r="J10" s="5">
        <v>1488</v>
      </c>
      <c r="K10" s="5">
        <v>1</v>
      </c>
      <c r="L10" s="5" t="s">
        <v>422</v>
      </c>
      <c r="M10" s="5" t="s">
        <v>423</v>
      </c>
    </row>
    <row r="11" spans="1:13" hidden="1" x14ac:dyDescent="0.3">
      <c r="A11" s="8" t="s">
        <v>348</v>
      </c>
      <c r="B11" s="8" t="s">
        <v>424</v>
      </c>
      <c r="C11" s="8">
        <v>27</v>
      </c>
      <c r="D11" s="8" t="s">
        <v>74</v>
      </c>
      <c r="E11" s="8" t="s">
        <v>401</v>
      </c>
      <c r="F11" s="8">
        <v>13</v>
      </c>
      <c r="G11" s="8">
        <v>3369</v>
      </c>
      <c r="H11" s="8">
        <v>3.7</v>
      </c>
      <c r="I11" s="8">
        <v>25000</v>
      </c>
      <c r="J11" s="8">
        <v>3088</v>
      </c>
      <c r="K11" s="8">
        <v>5</v>
      </c>
      <c r="L11" s="8" t="s">
        <v>422</v>
      </c>
      <c r="M11" s="8" t="s">
        <v>425</v>
      </c>
    </row>
    <row r="12" spans="1:13" hidden="1" x14ac:dyDescent="0.3">
      <c r="A12" s="5" t="s">
        <v>201</v>
      </c>
      <c r="B12" s="5" t="s">
        <v>426</v>
      </c>
      <c r="C12" s="5">
        <v>47</v>
      </c>
      <c r="D12" s="5" t="s">
        <v>92</v>
      </c>
      <c r="E12" s="5" t="s">
        <v>405</v>
      </c>
      <c r="F12" s="5">
        <v>15</v>
      </c>
      <c r="G12" s="5">
        <v>1985</v>
      </c>
      <c r="H12" s="5">
        <v>3.6</v>
      </c>
      <c r="I12" s="5">
        <v>30000</v>
      </c>
      <c r="J12" s="5">
        <v>1808</v>
      </c>
      <c r="K12" s="5">
        <v>4</v>
      </c>
      <c r="L12" s="5" t="s">
        <v>59</v>
      </c>
      <c r="M12" s="5" t="s">
        <v>427</v>
      </c>
    </row>
    <row r="13" spans="1:13" x14ac:dyDescent="0.3">
      <c r="A13" s="8" t="s">
        <v>321</v>
      </c>
      <c r="B13" s="8" t="s">
        <v>428</v>
      </c>
      <c r="C13" s="8">
        <v>37</v>
      </c>
      <c r="D13" s="8" t="s">
        <v>92</v>
      </c>
      <c r="E13" s="8" t="s">
        <v>401</v>
      </c>
      <c r="F13" s="8">
        <v>13</v>
      </c>
      <c r="G13" s="8">
        <v>2527</v>
      </c>
      <c r="H13" s="8">
        <v>3.9</v>
      </c>
      <c r="I13" s="8">
        <v>18000</v>
      </c>
      <c r="J13" s="8">
        <v>7060</v>
      </c>
      <c r="K13" s="8">
        <v>6</v>
      </c>
      <c r="L13" s="8" t="s">
        <v>59</v>
      </c>
      <c r="M13" s="8" t="s">
        <v>429</v>
      </c>
    </row>
    <row r="14" spans="1:13" hidden="1" x14ac:dyDescent="0.3">
      <c r="A14" s="5" t="s">
        <v>317</v>
      </c>
      <c r="B14" s="5" t="s">
        <v>430</v>
      </c>
      <c r="C14" s="5">
        <v>44</v>
      </c>
      <c r="D14" s="5" t="s">
        <v>81</v>
      </c>
      <c r="E14" s="5" t="s">
        <v>401</v>
      </c>
      <c r="F14" s="5">
        <v>9</v>
      </c>
      <c r="G14" s="5">
        <v>3630</v>
      </c>
      <c r="H14" s="5">
        <v>4.8</v>
      </c>
      <c r="I14" s="5">
        <v>25000</v>
      </c>
      <c r="J14" s="5">
        <v>7745</v>
      </c>
      <c r="K14" s="5">
        <v>2</v>
      </c>
      <c r="L14" s="5" t="s">
        <v>59</v>
      </c>
      <c r="M14" s="5" t="s">
        <v>431</v>
      </c>
    </row>
    <row r="15" spans="1:13" hidden="1" x14ac:dyDescent="0.3">
      <c r="A15" s="8" t="s">
        <v>378</v>
      </c>
      <c r="B15" s="8" t="s">
        <v>432</v>
      </c>
      <c r="C15" s="8">
        <v>52</v>
      </c>
      <c r="D15" s="8" t="s">
        <v>68</v>
      </c>
      <c r="E15" s="8" t="s">
        <v>405</v>
      </c>
      <c r="F15" s="8">
        <v>11</v>
      </c>
      <c r="G15" s="8">
        <v>1719</v>
      </c>
      <c r="H15" s="8">
        <v>3.7</v>
      </c>
      <c r="I15" s="8">
        <v>30000</v>
      </c>
      <c r="J15" s="8">
        <v>2842</v>
      </c>
      <c r="K15" s="8">
        <v>4</v>
      </c>
      <c r="L15" s="8" t="s">
        <v>59</v>
      </c>
      <c r="M15" s="8" t="s">
        <v>433</v>
      </c>
    </row>
    <row r="16" spans="1:13" hidden="1" x14ac:dyDescent="0.3">
      <c r="A16" s="5" t="s">
        <v>226</v>
      </c>
      <c r="B16" s="5" t="s">
        <v>434</v>
      </c>
      <c r="C16" s="5">
        <v>40</v>
      </c>
      <c r="D16" s="5" t="s">
        <v>92</v>
      </c>
      <c r="E16" s="5" t="s">
        <v>405</v>
      </c>
      <c r="F16" s="5">
        <v>8</v>
      </c>
      <c r="G16" s="5">
        <v>3444</v>
      </c>
      <c r="H16" s="5">
        <v>4.7</v>
      </c>
      <c r="I16" s="5">
        <v>22000</v>
      </c>
      <c r="J16" s="5">
        <v>5252</v>
      </c>
      <c r="K16" s="5">
        <v>0</v>
      </c>
      <c r="L16" s="5" t="s">
        <v>59</v>
      </c>
      <c r="M16" s="5" t="s">
        <v>435</v>
      </c>
    </row>
    <row r="17" spans="1:13" hidden="1" x14ac:dyDescent="0.3">
      <c r="A17" s="8" t="s">
        <v>325</v>
      </c>
      <c r="B17" s="8" t="s">
        <v>436</v>
      </c>
      <c r="C17" s="8">
        <v>24</v>
      </c>
      <c r="D17" s="8" t="s">
        <v>88</v>
      </c>
      <c r="E17" s="8" t="s">
        <v>405</v>
      </c>
      <c r="F17" s="8">
        <v>6</v>
      </c>
      <c r="G17" s="8">
        <v>4287</v>
      </c>
      <c r="H17" s="8">
        <v>4.5999999999999996</v>
      </c>
      <c r="I17" s="8">
        <v>25000</v>
      </c>
      <c r="J17" s="8">
        <v>7465</v>
      </c>
      <c r="K17" s="8">
        <v>4</v>
      </c>
      <c r="L17" s="8" t="s">
        <v>402</v>
      </c>
      <c r="M17" s="8" t="s">
        <v>131</v>
      </c>
    </row>
    <row r="18" spans="1:13" x14ac:dyDescent="0.3">
      <c r="A18" s="5" t="s">
        <v>213</v>
      </c>
      <c r="B18" s="5" t="s">
        <v>437</v>
      </c>
      <c r="C18" s="5">
        <v>42</v>
      </c>
      <c r="D18" s="5" t="s">
        <v>68</v>
      </c>
      <c r="E18" s="5" t="s">
        <v>405</v>
      </c>
      <c r="F18" s="5">
        <v>4</v>
      </c>
      <c r="G18" s="5">
        <v>2619</v>
      </c>
      <c r="H18" s="5">
        <v>3.2</v>
      </c>
      <c r="I18" s="5">
        <v>18000</v>
      </c>
      <c r="J18" s="5">
        <v>7689</v>
      </c>
      <c r="K18" s="5">
        <v>6</v>
      </c>
      <c r="L18" s="5" t="s">
        <v>59</v>
      </c>
      <c r="M18" s="5" t="s">
        <v>438</v>
      </c>
    </row>
    <row r="19" spans="1:13" hidden="1" x14ac:dyDescent="0.3">
      <c r="A19" s="8" t="s">
        <v>250</v>
      </c>
      <c r="B19" s="8" t="s">
        <v>439</v>
      </c>
      <c r="C19" s="8">
        <v>42</v>
      </c>
      <c r="D19" s="8" t="s">
        <v>68</v>
      </c>
      <c r="E19" s="8" t="s">
        <v>405</v>
      </c>
      <c r="F19" s="8">
        <v>13</v>
      </c>
      <c r="G19" s="8">
        <v>3364</v>
      </c>
      <c r="H19" s="8">
        <v>4.5999999999999996</v>
      </c>
      <c r="I19" s="8">
        <v>22000</v>
      </c>
      <c r="J19" s="8">
        <v>3687</v>
      </c>
      <c r="K19" s="8">
        <v>2</v>
      </c>
      <c r="L19" s="8" t="s">
        <v>59</v>
      </c>
      <c r="M19" s="8" t="s">
        <v>440</v>
      </c>
    </row>
    <row r="20" spans="1:13" x14ac:dyDescent="0.3">
      <c r="A20" s="5" t="s">
        <v>197</v>
      </c>
      <c r="B20" s="5" t="s">
        <v>441</v>
      </c>
      <c r="C20" s="5">
        <v>48</v>
      </c>
      <c r="D20" s="5" t="s">
        <v>81</v>
      </c>
      <c r="E20" s="5" t="s">
        <v>401</v>
      </c>
      <c r="F20" s="5">
        <v>12</v>
      </c>
      <c r="G20" s="5">
        <v>2149</v>
      </c>
      <c r="H20" s="5">
        <v>3.4</v>
      </c>
      <c r="I20" s="5">
        <v>25000</v>
      </c>
      <c r="J20" s="5">
        <v>4581</v>
      </c>
      <c r="K20" s="5">
        <v>6</v>
      </c>
      <c r="L20" s="5" t="s">
        <v>59</v>
      </c>
      <c r="M20" s="5" t="s">
        <v>442</v>
      </c>
    </row>
    <row r="21" spans="1:13" hidden="1" x14ac:dyDescent="0.3">
      <c r="A21" s="8" t="s">
        <v>306</v>
      </c>
      <c r="B21" s="8" t="s">
        <v>443</v>
      </c>
      <c r="C21" s="8">
        <v>54</v>
      </c>
      <c r="D21" s="8" t="s">
        <v>92</v>
      </c>
      <c r="E21" s="8" t="s">
        <v>401</v>
      </c>
      <c r="F21" s="8">
        <v>3</v>
      </c>
      <c r="G21" s="8">
        <v>4455</v>
      </c>
      <c r="H21" s="8">
        <v>3.5</v>
      </c>
      <c r="I21" s="8">
        <v>25000</v>
      </c>
      <c r="J21" s="8">
        <v>4185</v>
      </c>
      <c r="K21" s="8">
        <v>1</v>
      </c>
      <c r="L21" s="8" t="s">
        <v>59</v>
      </c>
      <c r="M21" s="8" t="s">
        <v>444</v>
      </c>
    </row>
    <row r="22" spans="1:13" hidden="1" x14ac:dyDescent="0.3">
      <c r="A22" s="5" t="s">
        <v>267</v>
      </c>
      <c r="B22" s="5" t="s">
        <v>445</v>
      </c>
      <c r="C22" s="5">
        <v>24</v>
      </c>
      <c r="D22" s="5" t="s">
        <v>88</v>
      </c>
      <c r="E22" s="5" t="s">
        <v>405</v>
      </c>
      <c r="F22" s="5">
        <v>1</v>
      </c>
      <c r="G22" s="5">
        <v>4875</v>
      </c>
      <c r="H22" s="5">
        <v>3.6</v>
      </c>
      <c r="I22" s="5">
        <v>22000</v>
      </c>
      <c r="J22" s="5">
        <v>1328</v>
      </c>
      <c r="K22" s="5">
        <v>0</v>
      </c>
      <c r="L22" s="5" t="s">
        <v>59</v>
      </c>
      <c r="M22" s="5" t="s">
        <v>446</v>
      </c>
    </row>
    <row r="23" spans="1:13" hidden="1" x14ac:dyDescent="0.3">
      <c r="A23" s="8" t="s">
        <v>194</v>
      </c>
      <c r="B23" s="8" t="s">
        <v>447</v>
      </c>
      <c r="C23" s="8">
        <v>38</v>
      </c>
      <c r="D23" s="8" t="s">
        <v>88</v>
      </c>
      <c r="E23" s="8" t="s">
        <v>405</v>
      </c>
      <c r="F23" s="8">
        <v>6</v>
      </c>
      <c r="G23" s="8">
        <v>3696</v>
      </c>
      <c r="H23" s="8">
        <v>3.1</v>
      </c>
      <c r="I23" s="8">
        <v>25000</v>
      </c>
      <c r="J23" s="8">
        <v>1837</v>
      </c>
      <c r="K23" s="8">
        <v>3</v>
      </c>
      <c r="L23" s="8" t="s">
        <v>59</v>
      </c>
      <c r="M23" s="8" t="s">
        <v>448</v>
      </c>
    </row>
    <row r="24" spans="1:13" hidden="1" x14ac:dyDescent="0.3">
      <c r="A24" s="5" t="s">
        <v>360</v>
      </c>
      <c r="B24" s="5" t="s">
        <v>449</v>
      </c>
      <c r="C24" s="5">
        <v>41</v>
      </c>
      <c r="D24" s="5" t="s">
        <v>92</v>
      </c>
      <c r="E24" s="5" t="s">
        <v>405</v>
      </c>
      <c r="F24" s="5">
        <v>3</v>
      </c>
      <c r="G24" s="5">
        <v>4685</v>
      </c>
      <c r="H24" s="5">
        <v>4.8</v>
      </c>
      <c r="I24" s="5">
        <v>28000</v>
      </c>
      <c r="J24" s="5">
        <v>1389</v>
      </c>
      <c r="K24" s="5">
        <v>5</v>
      </c>
      <c r="L24" s="5" t="s">
        <v>402</v>
      </c>
      <c r="M24" s="5" t="s">
        <v>450</v>
      </c>
    </row>
    <row r="25" spans="1:13" hidden="1" x14ac:dyDescent="0.3">
      <c r="A25" s="8" t="s">
        <v>353</v>
      </c>
      <c r="B25" s="8" t="s">
        <v>451</v>
      </c>
      <c r="C25" s="8">
        <v>31</v>
      </c>
      <c r="D25" s="8" t="s">
        <v>92</v>
      </c>
      <c r="E25" s="8" t="s">
        <v>401</v>
      </c>
      <c r="F25" s="8">
        <v>5</v>
      </c>
      <c r="G25" s="8">
        <v>1330</v>
      </c>
      <c r="H25" s="8">
        <v>4.0999999999999996</v>
      </c>
      <c r="I25" s="8">
        <v>18000</v>
      </c>
      <c r="J25" s="8">
        <v>6073</v>
      </c>
      <c r="K25" s="8">
        <v>6</v>
      </c>
      <c r="L25" s="8" t="s">
        <v>59</v>
      </c>
      <c r="M25" s="8" t="s">
        <v>452</v>
      </c>
    </row>
    <row r="26" spans="1:13" hidden="1" x14ac:dyDescent="0.3">
      <c r="A26" s="5" t="s">
        <v>331</v>
      </c>
      <c r="B26" s="5" t="s">
        <v>453</v>
      </c>
      <c r="C26" s="5">
        <v>34</v>
      </c>
      <c r="D26" s="5" t="s">
        <v>74</v>
      </c>
      <c r="E26" s="5" t="s">
        <v>405</v>
      </c>
      <c r="F26" s="5">
        <v>11</v>
      </c>
      <c r="G26" s="5">
        <v>3672</v>
      </c>
      <c r="H26" s="5">
        <v>3.4</v>
      </c>
      <c r="I26" s="5">
        <v>20000</v>
      </c>
      <c r="J26" s="5">
        <v>5911</v>
      </c>
      <c r="K26" s="5">
        <v>2</v>
      </c>
      <c r="L26" s="5" t="s">
        <v>59</v>
      </c>
      <c r="M26" s="5" t="s">
        <v>454</v>
      </c>
    </row>
    <row r="27" spans="1:13" hidden="1" x14ac:dyDescent="0.3">
      <c r="A27" s="8" t="s">
        <v>384</v>
      </c>
      <c r="B27" s="8" t="s">
        <v>455</v>
      </c>
      <c r="C27" s="8">
        <v>24</v>
      </c>
      <c r="D27" s="8" t="s">
        <v>68</v>
      </c>
      <c r="E27" s="8" t="s">
        <v>405</v>
      </c>
      <c r="F27" s="8">
        <v>4</v>
      </c>
      <c r="G27" s="8">
        <v>2028</v>
      </c>
      <c r="H27" s="8">
        <v>4.0999999999999996</v>
      </c>
      <c r="I27" s="8">
        <v>30000</v>
      </c>
      <c r="J27" s="8">
        <v>6343</v>
      </c>
      <c r="K27" s="8">
        <v>1</v>
      </c>
      <c r="L27" s="8" t="s">
        <v>59</v>
      </c>
      <c r="M27" s="8" t="s">
        <v>456</v>
      </c>
    </row>
    <row r="28" spans="1:13" hidden="1" x14ac:dyDescent="0.3">
      <c r="A28" s="5" t="s">
        <v>257</v>
      </c>
      <c r="B28" s="5" t="s">
        <v>457</v>
      </c>
      <c r="C28" s="5">
        <v>40</v>
      </c>
      <c r="D28" s="5" t="s">
        <v>74</v>
      </c>
      <c r="E28" s="5" t="s">
        <v>405</v>
      </c>
      <c r="F28" s="5">
        <v>19</v>
      </c>
      <c r="G28" s="5">
        <v>3348</v>
      </c>
      <c r="H28" s="5">
        <v>3</v>
      </c>
      <c r="I28" s="5">
        <v>20000</v>
      </c>
      <c r="J28" s="5">
        <v>1062</v>
      </c>
      <c r="K28" s="5">
        <v>0</v>
      </c>
      <c r="L28" s="5" t="s">
        <v>59</v>
      </c>
      <c r="M28" s="5" t="s">
        <v>458</v>
      </c>
    </row>
    <row r="29" spans="1:13" hidden="1" x14ac:dyDescent="0.3">
      <c r="A29" s="8" t="s">
        <v>459</v>
      </c>
      <c r="B29" s="8" t="s">
        <v>460</v>
      </c>
      <c r="C29" s="8">
        <v>31</v>
      </c>
      <c r="D29" s="8" t="s">
        <v>81</v>
      </c>
      <c r="E29" s="8" t="s">
        <v>405</v>
      </c>
      <c r="F29" s="8">
        <v>3</v>
      </c>
      <c r="G29" s="8">
        <v>430</v>
      </c>
      <c r="H29" s="8">
        <v>3.7</v>
      </c>
      <c r="I29" s="8">
        <v>28000</v>
      </c>
      <c r="J29" s="8">
        <v>5468</v>
      </c>
      <c r="K29" s="8">
        <v>5</v>
      </c>
      <c r="L29" s="8" t="s">
        <v>402</v>
      </c>
      <c r="M29" s="8" t="s">
        <v>461</v>
      </c>
    </row>
    <row r="30" spans="1:13" hidden="1" x14ac:dyDescent="0.3">
      <c r="A30" s="5" t="s">
        <v>315</v>
      </c>
      <c r="B30" s="5" t="s">
        <v>462</v>
      </c>
      <c r="C30" s="5">
        <v>41</v>
      </c>
      <c r="D30" s="5" t="s">
        <v>88</v>
      </c>
      <c r="E30" s="5" t="s">
        <v>401</v>
      </c>
      <c r="F30" s="5">
        <v>18</v>
      </c>
      <c r="G30" s="5">
        <v>1334</v>
      </c>
      <c r="H30" s="5">
        <v>4.4000000000000004</v>
      </c>
      <c r="I30" s="5">
        <v>18000</v>
      </c>
      <c r="J30" s="5">
        <v>6110</v>
      </c>
      <c r="K30" s="5">
        <v>4</v>
      </c>
      <c r="L30" s="5" t="s">
        <v>402</v>
      </c>
      <c r="M30" s="5" t="s">
        <v>463</v>
      </c>
    </row>
    <row r="31" spans="1:13" hidden="1" x14ac:dyDescent="0.3">
      <c r="A31" s="8" t="s">
        <v>237</v>
      </c>
      <c r="B31" s="8" t="s">
        <v>464</v>
      </c>
      <c r="C31" s="8">
        <v>38</v>
      </c>
      <c r="D31" s="8" t="s">
        <v>68</v>
      </c>
      <c r="E31" s="8" t="s">
        <v>405</v>
      </c>
      <c r="F31" s="8">
        <v>2</v>
      </c>
      <c r="G31" s="8">
        <v>1838</v>
      </c>
      <c r="H31" s="8">
        <v>3.5</v>
      </c>
      <c r="I31" s="8">
        <v>22000</v>
      </c>
      <c r="J31" s="8">
        <v>1311</v>
      </c>
      <c r="K31" s="8">
        <v>1</v>
      </c>
      <c r="L31" s="8" t="s">
        <v>59</v>
      </c>
      <c r="M31" s="8" t="s">
        <v>465</v>
      </c>
    </row>
    <row r="32" spans="1:13" hidden="1" x14ac:dyDescent="0.3">
      <c r="A32" s="5" t="s">
        <v>284</v>
      </c>
      <c r="B32" s="5" t="s">
        <v>466</v>
      </c>
      <c r="C32" s="5">
        <v>36</v>
      </c>
      <c r="D32" s="5" t="s">
        <v>68</v>
      </c>
      <c r="E32" s="5" t="s">
        <v>401</v>
      </c>
      <c r="F32" s="5">
        <v>10</v>
      </c>
      <c r="G32" s="5">
        <v>601</v>
      </c>
      <c r="H32" s="5">
        <v>5</v>
      </c>
      <c r="I32" s="5">
        <v>22000</v>
      </c>
      <c r="J32" s="5">
        <v>1466</v>
      </c>
      <c r="K32" s="5">
        <v>6</v>
      </c>
      <c r="L32" s="5" t="s">
        <v>59</v>
      </c>
      <c r="M32" s="5" t="s">
        <v>467</v>
      </c>
    </row>
    <row r="33" spans="1:13" hidden="1" x14ac:dyDescent="0.3">
      <c r="A33" s="8" t="s">
        <v>209</v>
      </c>
      <c r="B33" s="8" t="s">
        <v>468</v>
      </c>
      <c r="C33" s="8">
        <v>49</v>
      </c>
      <c r="D33" s="8" t="s">
        <v>81</v>
      </c>
      <c r="E33" s="8" t="s">
        <v>405</v>
      </c>
      <c r="F33" s="8">
        <v>6</v>
      </c>
      <c r="G33" s="8">
        <v>4918</v>
      </c>
      <c r="H33" s="8">
        <v>3.5</v>
      </c>
      <c r="I33" s="8">
        <v>25000</v>
      </c>
      <c r="J33" s="8">
        <v>1057</v>
      </c>
      <c r="K33" s="8">
        <v>1</v>
      </c>
      <c r="L33" s="8" t="s">
        <v>59</v>
      </c>
      <c r="M33" s="8" t="s">
        <v>469</v>
      </c>
    </row>
    <row r="34" spans="1:13" hidden="1" x14ac:dyDescent="0.3">
      <c r="A34" s="5" t="s">
        <v>191</v>
      </c>
      <c r="B34" s="5" t="s">
        <v>470</v>
      </c>
      <c r="C34" s="5">
        <v>55</v>
      </c>
      <c r="D34" s="5" t="s">
        <v>68</v>
      </c>
      <c r="E34" s="5" t="s">
        <v>405</v>
      </c>
      <c r="F34" s="5">
        <v>14</v>
      </c>
      <c r="G34" s="5">
        <v>1752</v>
      </c>
      <c r="H34" s="5">
        <v>4.8</v>
      </c>
      <c r="I34" s="5">
        <v>20000</v>
      </c>
      <c r="J34" s="5">
        <v>1077</v>
      </c>
      <c r="K34" s="5">
        <v>3</v>
      </c>
      <c r="L34" s="5" t="s">
        <v>59</v>
      </c>
      <c r="M34" s="5" t="s">
        <v>471</v>
      </c>
    </row>
    <row r="35" spans="1:13" hidden="1" x14ac:dyDescent="0.3">
      <c r="A35" s="8" t="s">
        <v>240</v>
      </c>
      <c r="B35" s="8" t="s">
        <v>472</v>
      </c>
      <c r="C35" s="8">
        <v>28</v>
      </c>
      <c r="D35" s="8" t="s">
        <v>68</v>
      </c>
      <c r="E35" s="8" t="s">
        <v>401</v>
      </c>
      <c r="F35" s="8">
        <v>17</v>
      </c>
      <c r="G35" s="8">
        <v>1957</v>
      </c>
      <c r="H35" s="8">
        <v>4.4000000000000004</v>
      </c>
      <c r="I35" s="8">
        <v>25000</v>
      </c>
      <c r="J35" s="8">
        <v>3163</v>
      </c>
      <c r="K35" s="8">
        <v>8</v>
      </c>
      <c r="L35" s="8" t="s">
        <v>59</v>
      </c>
      <c r="M35" s="8" t="s">
        <v>473</v>
      </c>
    </row>
    <row r="36" spans="1:13" hidden="1" x14ac:dyDescent="0.3">
      <c r="A36" s="5" t="s">
        <v>235</v>
      </c>
      <c r="B36" s="5" t="s">
        <v>474</v>
      </c>
      <c r="C36" s="5">
        <v>45</v>
      </c>
      <c r="D36" s="5" t="s">
        <v>81</v>
      </c>
      <c r="E36" s="5" t="s">
        <v>401</v>
      </c>
      <c r="F36" s="5">
        <v>4</v>
      </c>
      <c r="G36" s="5">
        <v>342</v>
      </c>
      <c r="H36" s="5">
        <v>4.9000000000000004</v>
      </c>
      <c r="I36" s="5">
        <v>25000</v>
      </c>
      <c r="J36" s="5">
        <v>497</v>
      </c>
      <c r="K36" s="5">
        <v>3</v>
      </c>
      <c r="L36" s="5" t="s">
        <v>59</v>
      </c>
      <c r="M36" s="5" t="s">
        <v>471</v>
      </c>
    </row>
    <row r="37" spans="1:13" hidden="1" x14ac:dyDescent="0.3">
      <c r="A37" s="8" t="s">
        <v>254</v>
      </c>
      <c r="B37" s="8" t="s">
        <v>475</v>
      </c>
      <c r="C37" s="8">
        <v>41</v>
      </c>
      <c r="D37" s="8" t="s">
        <v>92</v>
      </c>
      <c r="E37" s="8" t="s">
        <v>405</v>
      </c>
      <c r="F37" s="8">
        <v>1</v>
      </c>
      <c r="G37" s="8">
        <v>4828</v>
      </c>
      <c r="H37" s="8">
        <v>4.0999999999999996</v>
      </c>
      <c r="I37" s="8">
        <v>20000</v>
      </c>
      <c r="J37" s="8">
        <v>5806</v>
      </c>
      <c r="K37" s="8">
        <v>1</v>
      </c>
      <c r="L37" s="8" t="s">
        <v>59</v>
      </c>
      <c r="M37" s="8" t="s">
        <v>476</v>
      </c>
    </row>
    <row r="38" spans="1:13" hidden="1" x14ac:dyDescent="0.3">
      <c r="A38" s="5" t="s">
        <v>229</v>
      </c>
      <c r="B38" s="5" t="s">
        <v>477</v>
      </c>
      <c r="C38" s="5">
        <v>43</v>
      </c>
      <c r="D38" s="5" t="s">
        <v>88</v>
      </c>
      <c r="E38" s="5" t="s">
        <v>405</v>
      </c>
      <c r="F38" s="5">
        <v>7</v>
      </c>
      <c r="G38" s="5">
        <v>3806</v>
      </c>
      <c r="H38" s="5">
        <v>3.1</v>
      </c>
      <c r="I38" s="5">
        <v>18000</v>
      </c>
      <c r="J38" s="5">
        <v>2840</v>
      </c>
      <c r="K38" s="5">
        <v>2</v>
      </c>
      <c r="L38" s="5" t="s">
        <v>422</v>
      </c>
      <c r="M38" s="5" t="s">
        <v>478</v>
      </c>
    </row>
    <row r="39" spans="1:13" hidden="1" x14ac:dyDescent="0.3">
      <c r="A39" s="8" t="s">
        <v>479</v>
      </c>
      <c r="B39" s="8" t="s">
        <v>480</v>
      </c>
      <c r="C39" s="8">
        <v>46</v>
      </c>
      <c r="D39" s="8" t="s">
        <v>74</v>
      </c>
      <c r="E39" s="8" t="s">
        <v>405</v>
      </c>
      <c r="F39" s="8">
        <v>8</v>
      </c>
      <c r="G39" s="8">
        <v>4509</v>
      </c>
      <c r="H39" s="8">
        <v>3.3</v>
      </c>
      <c r="I39" s="8">
        <v>18000</v>
      </c>
      <c r="J39" s="8">
        <v>172</v>
      </c>
      <c r="K39" s="8">
        <v>2</v>
      </c>
      <c r="L39" s="8" t="s">
        <v>59</v>
      </c>
      <c r="M39" s="8" t="s">
        <v>481</v>
      </c>
    </row>
    <row r="40" spans="1:13" hidden="1" x14ac:dyDescent="0.3">
      <c r="A40" s="5" t="s">
        <v>375</v>
      </c>
      <c r="B40" s="5" t="s">
        <v>482</v>
      </c>
      <c r="C40" s="5">
        <v>40</v>
      </c>
      <c r="D40" s="5" t="s">
        <v>60</v>
      </c>
      <c r="E40" s="5" t="s">
        <v>405</v>
      </c>
      <c r="F40" s="5">
        <v>14</v>
      </c>
      <c r="G40" s="5">
        <v>1033</v>
      </c>
      <c r="H40" s="5">
        <v>4.3</v>
      </c>
      <c r="I40" s="5">
        <v>18000</v>
      </c>
      <c r="J40" s="5">
        <v>5535</v>
      </c>
      <c r="K40" s="5">
        <v>5</v>
      </c>
      <c r="L40" s="5" t="s">
        <v>59</v>
      </c>
      <c r="M40" s="5" t="s">
        <v>483</v>
      </c>
    </row>
    <row r="41" spans="1:13" hidden="1" x14ac:dyDescent="0.3">
      <c r="A41" s="8" t="s">
        <v>293</v>
      </c>
      <c r="B41" s="8" t="s">
        <v>484</v>
      </c>
      <c r="C41" s="8">
        <v>40</v>
      </c>
      <c r="D41" s="8" t="s">
        <v>74</v>
      </c>
      <c r="E41" s="8" t="s">
        <v>405</v>
      </c>
      <c r="F41" s="8">
        <v>4</v>
      </c>
      <c r="G41" s="8">
        <v>2338</v>
      </c>
      <c r="H41" s="8">
        <v>4.0999999999999996</v>
      </c>
      <c r="I41" s="8">
        <v>18000</v>
      </c>
      <c r="J41" s="8">
        <v>7443</v>
      </c>
      <c r="K41" s="8">
        <v>3</v>
      </c>
      <c r="L41" s="8" t="s">
        <v>59</v>
      </c>
      <c r="M41" s="8" t="s">
        <v>485</v>
      </c>
    </row>
    <row r="42" spans="1:13" hidden="1" x14ac:dyDescent="0.3">
      <c r="A42" s="5" t="s">
        <v>203</v>
      </c>
      <c r="B42" s="5" t="s">
        <v>486</v>
      </c>
      <c r="C42" s="5">
        <v>41</v>
      </c>
      <c r="D42" s="5" t="s">
        <v>74</v>
      </c>
      <c r="E42" s="5" t="s">
        <v>401</v>
      </c>
      <c r="F42" s="5">
        <v>7</v>
      </c>
      <c r="G42" s="5">
        <v>3723</v>
      </c>
      <c r="H42" s="5">
        <v>4.3</v>
      </c>
      <c r="I42" s="5">
        <v>28000</v>
      </c>
      <c r="J42" s="5">
        <v>135</v>
      </c>
      <c r="K42" s="5">
        <v>4</v>
      </c>
      <c r="L42" s="5" t="s">
        <v>59</v>
      </c>
      <c r="M42" s="5" t="s">
        <v>487</v>
      </c>
    </row>
    <row r="43" spans="1:13" hidden="1" x14ac:dyDescent="0.3">
      <c r="A43" s="8" t="s">
        <v>206</v>
      </c>
      <c r="B43" s="8" t="s">
        <v>488</v>
      </c>
      <c r="C43" s="8">
        <v>25</v>
      </c>
      <c r="D43" s="8" t="s">
        <v>74</v>
      </c>
      <c r="E43" s="8" t="s">
        <v>405</v>
      </c>
      <c r="F43" s="8">
        <v>15</v>
      </c>
      <c r="G43" s="8">
        <v>3588</v>
      </c>
      <c r="H43" s="8">
        <v>4.5999999999999996</v>
      </c>
      <c r="I43" s="8">
        <v>22000</v>
      </c>
      <c r="J43" s="8">
        <v>4077</v>
      </c>
      <c r="K43" s="8">
        <v>3</v>
      </c>
      <c r="L43" s="8" t="s">
        <v>422</v>
      </c>
      <c r="M43" s="8" t="s">
        <v>156</v>
      </c>
    </row>
    <row r="44" spans="1:13" hidden="1" x14ac:dyDescent="0.3">
      <c r="A44" s="5" t="s">
        <v>489</v>
      </c>
      <c r="B44" s="5" t="s">
        <v>490</v>
      </c>
      <c r="C44" s="5">
        <v>30</v>
      </c>
      <c r="D44" s="5" t="s">
        <v>74</v>
      </c>
      <c r="E44" s="5" t="s">
        <v>405</v>
      </c>
      <c r="F44" s="5">
        <v>7</v>
      </c>
      <c r="G44" s="5">
        <v>658</v>
      </c>
      <c r="H44" s="5">
        <v>4.2</v>
      </c>
      <c r="I44" s="5">
        <v>22000</v>
      </c>
      <c r="J44" s="5">
        <v>3630</v>
      </c>
      <c r="K44" s="5">
        <v>7</v>
      </c>
      <c r="L44" s="5" t="s">
        <v>59</v>
      </c>
      <c r="M44" s="5" t="s">
        <v>491</v>
      </c>
    </row>
    <row r="45" spans="1:13" hidden="1" x14ac:dyDescent="0.3">
      <c r="A45" s="8" t="s">
        <v>350</v>
      </c>
      <c r="B45" s="8" t="s">
        <v>492</v>
      </c>
      <c r="C45" s="8">
        <v>25</v>
      </c>
      <c r="D45" s="8" t="s">
        <v>60</v>
      </c>
      <c r="E45" s="8" t="s">
        <v>405</v>
      </c>
      <c r="F45" s="8">
        <v>5</v>
      </c>
      <c r="G45" s="8">
        <v>3458</v>
      </c>
      <c r="H45" s="8">
        <v>3.4</v>
      </c>
      <c r="I45" s="8">
        <v>30000</v>
      </c>
      <c r="J45" s="8">
        <v>5261</v>
      </c>
      <c r="K45" s="8">
        <v>0</v>
      </c>
      <c r="L45" s="8" t="s">
        <v>59</v>
      </c>
      <c r="M45" s="8" t="s">
        <v>493</v>
      </c>
    </row>
    <row r="46" spans="1:13" hidden="1" x14ac:dyDescent="0.3">
      <c r="A46" s="5" t="s">
        <v>494</v>
      </c>
      <c r="B46" s="5" t="s">
        <v>495</v>
      </c>
      <c r="C46" s="5">
        <v>37</v>
      </c>
      <c r="D46" s="5" t="s">
        <v>92</v>
      </c>
      <c r="E46" s="5" t="s">
        <v>405</v>
      </c>
      <c r="F46" s="5">
        <v>1</v>
      </c>
      <c r="G46" s="5">
        <v>3620</v>
      </c>
      <c r="H46" s="5">
        <v>4.7</v>
      </c>
      <c r="I46" s="5">
        <v>22000</v>
      </c>
      <c r="J46" s="5">
        <v>1465</v>
      </c>
      <c r="K46" s="5">
        <v>2</v>
      </c>
      <c r="L46" s="5" t="s">
        <v>402</v>
      </c>
      <c r="M46" s="5" t="s">
        <v>496</v>
      </c>
    </row>
    <row r="47" spans="1:13" x14ac:dyDescent="0.3">
      <c r="A47" s="8" t="s">
        <v>248</v>
      </c>
      <c r="B47" s="8" t="s">
        <v>497</v>
      </c>
      <c r="C47" s="8">
        <v>50</v>
      </c>
      <c r="D47" s="8" t="s">
        <v>60</v>
      </c>
      <c r="E47" s="8" t="s">
        <v>405</v>
      </c>
      <c r="F47" s="8">
        <v>6</v>
      </c>
      <c r="G47" s="8">
        <v>3529</v>
      </c>
      <c r="H47" s="8">
        <v>3.8</v>
      </c>
      <c r="I47" s="8">
        <v>18000</v>
      </c>
      <c r="J47" s="8">
        <v>622</v>
      </c>
      <c r="K47" s="8">
        <v>8</v>
      </c>
      <c r="L47" s="8" t="s">
        <v>59</v>
      </c>
      <c r="M47" s="8" t="s">
        <v>498</v>
      </c>
    </row>
    <row r="48" spans="1:13" hidden="1" x14ac:dyDescent="0.3">
      <c r="A48" s="5" t="s">
        <v>216</v>
      </c>
      <c r="B48" s="5" t="s">
        <v>499</v>
      </c>
      <c r="C48" s="5">
        <v>41</v>
      </c>
      <c r="D48" s="5" t="s">
        <v>92</v>
      </c>
      <c r="E48" s="5" t="s">
        <v>405</v>
      </c>
      <c r="F48" s="5">
        <v>2</v>
      </c>
      <c r="G48" s="5">
        <v>672</v>
      </c>
      <c r="H48" s="5">
        <v>3.5</v>
      </c>
      <c r="I48" s="5">
        <v>25000</v>
      </c>
      <c r="J48" s="5">
        <v>1027</v>
      </c>
      <c r="K48" s="5">
        <v>4</v>
      </c>
      <c r="L48" s="5" t="s">
        <v>422</v>
      </c>
      <c r="M48" s="5" t="s">
        <v>500</v>
      </c>
    </row>
    <row r="49" spans="1:13" hidden="1" x14ac:dyDescent="0.3">
      <c r="A49" s="8" t="s">
        <v>272</v>
      </c>
      <c r="B49" s="8" t="s">
        <v>501</v>
      </c>
      <c r="C49" s="8">
        <v>43</v>
      </c>
      <c r="D49" s="8" t="s">
        <v>81</v>
      </c>
      <c r="E49" s="8" t="s">
        <v>405</v>
      </c>
      <c r="F49" s="8">
        <v>17</v>
      </c>
      <c r="G49" s="8">
        <v>2172</v>
      </c>
      <c r="H49" s="8">
        <v>4.3</v>
      </c>
      <c r="I49" s="8">
        <v>25000</v>
      </c>
      <c r="J49" s="8">
        <v>2266</v>
      </c>
      <c r="K49" s="8">
        <v>3</v>
      </c>
      <c r="L49" s="8" t="s">
        <v>59</v>
      </c>
      <c r="M49" s="8" t="s">
        <v>502</v>
      </c>
    </row>
    <row r="50" spans="1:13" hidden="1" x14ac:dyDescent="0.3">
      <c r="A50" s="5" t="s">
        <v>276</v>
      </c>
      <c r="B50" s="5" t="s">
        <v>503</v>
      </c>
      <c r="C50" s="5">
        <v>38</v>
      </c>
      <c r="D50" s="5" t="s">
        <v>88</v>
      </c>
      <c r="E50" s="5" t="s">
        <v>405</v>
      </c>
      <c r="F50" s="5">
        <v>20</v>
      </c>
      <c r="G50" s="5">
        <v>4327</v>
      </c>
      <c r="H50" s="5">
        <v>3.1</v>
      </c>
      <c r="I50" s="5">
        <v>28000</v>
      </c>
      <c r="J50" s="5">
        <v>3480</v>
      </c>
      <c r="K50" s="5">
        <v>2</v>
      </c>
      <c r="L50" s="5" t="s">
        <v>422</v>
      </c>
      <c r="M50" s="5" t="s">
        <v>504</v>
      </c>
    </row>
    <row r="51" spans="1:13" hidden="1" x14ac:dyDescent="0.3">
      <c r="A51" s="8" t="s">
        <v>279</v>
      </c>
      <c r="B51" s="8" t="s">
        <v>505</v>
      </c>
      <c r="C51" s="8">
        <v>49</v>
      </c>
      <c r="D51" s="8" t="s">
        <v>88</v>
      </c>
      <c r="E51" s="8" t="s">
        <v>405</v>
      </c>
      <c r="F51" s="8">
        <v>1</v>
      </c>
      <c r="G51" s="8">
        <v>3557</v>
      </c>
      <c r="H51" s="8">
        <v>3.2</v>
      </c>
      <c r="I51" s="8">
        <v>25000</v>
      </c>
      <c r="J51" s="8">
        <v>853</v>
      </c>
      <c r="K51" s="8">
        <v>0</v>
      </c>
      <c r="L51" s="8" t="s">
        <v>59</v>
      </c>
      <c r="M51" s="8" t="s">
        <v>506</v>
      </c>
    </row>
  </sheetData>
  <autoFilter ref="D1:M51" xr:uid="{00000000-0001-0000-0300-000000000000}">
    <filterColumn colId="4">
      <customFilters>
        <customFilter operator="lessThan" val="4"/>
      </customFilters>
    </filterColumn>
    <filterColumn colId="7">
      <customFilters>
        <customFilter operator="greaterThan" val="5"/>
      </customFilters>
    </filterColumn>
  </autoFilter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61"/>
  <sheetViews>
    <sheetView zoomScale="95" workbookViewId="0">
      <selection activeCell="B9" sqref="B9"/>
    </sheetView>
  </sheetViews>
  <sheetFormatPr defaultRowHeight="14.4" x14ac:dyDescent="0.3"/>
  <cols>
    <col min="1" max="1" width="18" customWidth="1"/>
    <col min="2" max="3" width="14" customWidth="1"/>
    <col min="4" max="4" width="23" customWidth="1"/>
    <col min="5" max="5" width="14" customWidth="1"/>
    <col min="6" max="6" width="12" customWidth="1"/>
    <col min="7" max="7" width="17" customWidth="1"/>
    <col min="8" max="8" width="22" customWidth="1"/>
    <col min="9" max="9" width="20" customWidth="1"/>
    <col min="10" max="10" width="17" customWidth="1"/>
    <col min="11" max="11" width="12" customWidth="1"/>
  </cols>
  <sheetData>
    <row r="1" spans="1:11" ht="15.6" x14ac:dyDescent="0.3">
      <c r="A1" s="4" t="s">
        <v>507</v>
      </c>
      <c r="B1" s="4" t="s">
        <v>39</v>
      </c>
      <c r="C1" s="4" t="s">
        <v>40</v>
      </c>
      <c r="D1" s="4" t="s">
        <v>508</v>
      </c>
      <c r="E1" s="4" t="s">
        <v>509</v>
      </c>
      <c r="F1" s="4" t="s">
        <v>510</v>
      </c>
      <c r="G1" s="4" t="s">
        <v>511</v>
      </c>
      <c r="H1" s="4" t="s">
        <v>512</v>
      </c>
      <c r="I1" s="4" t="s">
        <v>513</v>
      </c>
      <c r="J1" s="4" t="s">
        <v>514</v>
      </c>
      <c r="K1" s="4" t="s">
        <v>515</v>
      </c>
    </row>
    <row r="2" spans="1:11" x14ac:dyDescent="0.3">
      <c r="A2" s="5" t="s">
        <v>516</v>
      </c>
      <c r="B2" s="5" t="s">
        <v>157</v>
      </c>
      <c r="C2" s="5" t="str">
        <f>VLOOKUP(B2,Fleet_Vehicle_Data!$A:$B,2,FALSE)</f>
        <v>BYD</v>
      </c>
      <c r="D2" s="5" t="s">
        <v>517</v>
      </c>
      <c r="E2" s="5" t="s">
        <v>518</v>
      </c>
      <c r="F2" s="5">
        <v>11202</v>
      </c>
      <c r="G2" s="5">
        <v>3</v>
      </c>
      <c r="H2" s="5" t="s">
        <v>519</v>
      </c>
      <c r="I2" s="5" t="s">
        <v>520</v>
      </c>
      <c r="J2" s="5" t="s">
        <v>521</v>
      </c>
      <c r="K2" s="5" t="s">
        <v>522</v>
      </c>
    </row>
    <row r="3" spans="1:11" x14ac:dyDescent="0.3">
      <c r="A3" s="8" t="s">
        <v>523</v>
      </c>
      <c r="B3" s="8" t="s">
        <v>164</v>
      </c>
      <c r="C3" s="8" t="str">
        <f>VLOOKUP(B3,Fleet_Vehicle_Data!$A:$B,2,FALSE)</f>
        <v>Maruti</v>
      </c>
      <c r="D3" s="8" t="s">
        <v>517</v>
      </c>
      <c r="E3" s="8" t="s">
        <v>524</v>
      </c>
      <c r="F3" s="8">
        <v>43094</v>
      </c>
      <c r="G3" s="8">
        <v>5</v>
      </c>
      <c r="H3" s="8" t="s">
        <v>525</v>
      </c>
      <c r="I3" s="8" t="s">
        <v>526</v>
      </c>
      <c r="J3" s="8" t="s">
        <v>527</v>
      </c>
      <c r="K3" s="8" t="s">
        <v>528</v>
      </c>
    </row>
    <row r="4" spans="1:11" x14ac:dyDescent="0.3">
      <c r="A4" s="5" t="s">
        <v>529</v>
      </c>
      <c r="B4" s="5" t="s">
        <v>110</v>
      </c>
      <c r="C4" s="5" t="str">
        <f>VLOOKUP(B4,Fleet_Vehicle_Data!$A:$B,2,FALSE)</f>
        <v>Hyundai</v>
      </c>
      <c r="D4" s="5" t="s">
        <v>530</v>
      </c>
      <c r="E4" s="5" t="s">
        <v>134</v>
      </c>
      <c r="F4" s="5">
        <v>35153</v>
      </c>
      <c r="G4" s="5">
        <v>15</v>
      </c>
      <c r="H4" s="5" t="s">
        <v>525</v>
      </c>
      <c r="I4" s="5" t="s">
        <v>531</v>
      </c>
      <c r="J4" s="5" t="s">
        <v>532</v>
      </c>
      <c r="K4" s="5" t="s">
        <v>522</v>
      </c>
    </row>
    <row r="5" spans="1:11" x14ac:dyDescent="0.3">
      <c r="A5" s="8" t="s">
        <v>533</v>
      </c>
      <c r="B5" s="8" t="s">
        <v>164</v>
      </c>
      <c r="C5" s="8" t="str">
        <f>VLOOKUP(B5,Fleet_Vehicle_Data!$A:$B,2,FALSE)</f>
        <v>Maruti</v>
      </c>
      <c r="D5" s="8" t="s">
        <v>534</v>
      </c>
      <c r="E5" s="8" t="s">
        <v>535</v>
      </c>
      <c r="F5" s="8">
        <v>31840</v>
      </c>
      <c r="G5" s="8">
        <v>2</v>
      </c>
      <c r="H5" s="8" t="s">
        <v>536</v>
      </c>
      <c r="I5" s="8" t="s">
        <v>531</v>
      </c>
      <c r="J5" s="8" t="s">
        <v>537</v>
      </c>
      <c r="K5" s="8" t="s">
        <v>522</v>
      </c>
    </row>
    <row r="6" spans="1:11" x14ac:dyDescent="0.3">
      <c r="A6" s="5" t="s">
        <v>538</v>
      </c>
      <c r="B6" s="5" t="s">
        <v>77</v>
      </c>
      <c r="C6" s="5" t="str">
        <f>VLOOKUP(B6,Fleet_Vehicle_Data!$A:$B,2,FALSE)</f>
        <v>Tata</v>
      </c>
      <c r="D6" s="5" t="s">
        <v>539</v>
      </c>
      <c r="E6" s="5" t="s">
        <v>222</v>
      </c>
      <c r="F6" s="5">
        <v>4030</v>
      </c>
      <c r="G6" s="5">
        <v>3</v>
      </c>
      <c r="H6" s="5" t="s">
        <v>519</v>
      </c>
      <c r="I6" s="5" t="s">
        <v>520</v>
      </c>
      <c r="J6" s="5" t="s">
        <v>540</v>
      </c>
      <c r="K6" s="5" t="s">
        <v>522</v>
      </c>
    </row>
    <row r="7" spans="1:11" x14ac:dyDescent="0.3">
      <c r="A7" s="8" t="s">
        <v>541</v>
      </c>
      <c r="B7" s="8" t="s">
        <v>161</v>
      </c>
      <c r="C7" s="8" t="str">
        <f>VLOOKUP(B7,Fleet_Vehicle_Data!$A:$B,2,FALSE)</f>
        <v>Mahindra</v>
      </c>
      <c r="D7" s="8" t="s">
        <v>542</v>
      </c>
      <c r="E7" s="8" t="s">
        <v>258</v>
      </c>
      <c r="F7" s="8">
        <v>25984</v>
      </c>
      <c r="G7" s="8">
        <v>12</v>
      </c>
      <c r="H7" s="8" t="s">
        <v>543</v>
      </c>
      <c r="I7" s="8" t="s">
        <v>544</v>
      </c>
      <c r="J7" s="8" t="s">
        <v>545</v>
      </c>
      <c r="K7" s="8" t="s">
        <v>522</v>
      </c>
    </row>
    <row r="8" spans="1:11" x14ac:dyDescent="0.3">
      <c r="A8" s="5" t="s">
        <v>546</v>
      </c>
      <c r="B8" s="5" t="s">
        <v>63</v>
      </c>
      <c r="C8" s="5" t="str">
        <f>VLOOKUP(B8,Fleet_Vehicle_Data!$A:$B,2,FALSE)</f>
        <v>Hyundai</v>
      </c>
      <c r="D8" s="5" t="s">
        <v>547</v>
      </c>
      <c r="E8" s="5" t="s">
        <v>187</v>
      </c>
      <c r="F8" s="5">
        <v>16433</v>
      </c>
      <c r="G8" s="5">
        <v>13</v>
      </c>
      <c r="H8" s="5" t="s">
        <v>536</v>
      </c>
      <c r="I8" s="5" t="s">
        <v>548</v>
      </c>
      <c r="J8" s="5" t="s">
        <v>549</v>
      </c>
      <c r="K8" s="5" t="s">
        <v>550</v>
      </c>
    </row>
    <row r="9" spans="1:11" x14ac:dyDescent="0.3">
      <c r="A9" s="8" t="s">
        <v>551</v>
      </c>
      <c r="B9" s="8" t="s">
        <v>161</v>
      </c>
      <c r="C9" s="8" t="str">
        <f>VLOOKUP(B9,Fleet_Vehicle_Data!$A:$B,2,FALSE)</f>
        <v>Mahindra</v>
      </c>
      <c r="D9" s="8" t="s">
        <v>530</v>
      </c>
      <c r="E9" s="8" t="s">
        <v>101</v>
      </c>
      <c r="F9" s="8">
        <v>24137</v>
      </c>
      <c r="G9" s="8">
        <v>0</v>
      </c>
      <c r="H9" s="8" t="s">
        <v>552</v>
      </c>
      <c r="I9" s="8" t="s">
        <v>553</v>
      </c>
      <c r="J9" s="8" t="s">
        <v>554</v>
      </c>
      <c r="K9" s="8" t="s">
        <v>522</v>
      </c>
    </row>
    <row r="10" spans="1:11" x14ac:dyDescent="0.3">
      <c r="A10" s="5" t="s">
        <v>555</v>
      </c>
      <c r="B10" s="5" t="s">
        <v>63</v>
      </c>
      <c r="C10" s="5" t="str">
        <f>VLOOKUP(B10,Fleet_Vehicle_Data!$A:$B,2,FALSE)</f>
        <v>Hyundai</v>
      </c>
      <c r="D10" s="5" t="s">
        <v>547</v>
      </c>
      <c r="E10" s="5" t="s">
        <v>380</v>
      </c>
      <c r="F10" s="5">
        <v>37376</v>
      </c>
      <c r="G10" s="5">
        <v>0</v>
      </c>
      <c r="H10" s="5" t="s">
        <v>543</v>
      </c>
      <c r="I10" s="5" t="s">
        <v>556</v>
      </c>
      <c r="J10" s="5" t="s">
        <v>532</v>
      </c>
      <c r="K10" s="5" t="s">
        <v>550</v>
      </c>
    </row>
    <row r="11" spans="1:11" x14ac:dyDescent="0.3">
      <c r="A11" s="8" t="s">
        <v>557</v>
      </c>
      <c r="B11" s="8" t="s">
        <v>77</v>
      </c>
      <c r="C11" s="8" t="str">
        <f>VLOOKUP(B11,Fleet_Vehicle_Data!$A:$B,2,FALSE)</f>
        <v>Tata</v>
      </c>
      <c r="D11" s="8" t="s">
        <v>542</v>
      </c>
      <c r="E11" s="8" t="s">
        <v>298</v>
      </c>
      <c r="F11" s="8">
        <v>39827</v>
      </c>
      <c r="G11" s="8">
        <v>4</v>
      </c>
      <c r="H11" s="8" t="s">
        <v>525</v>
      </c>
      <c r="I11" s="8" t="s">
        <v>548</v>
      </c>
      <c r="J11" s="8" t="s">
        <v>558</v>
      </c>
      <c r="K11" s="8" t="s">
        <v>522</v>
      </c>
    </row>
    <row r="12" spans="1:11" x14ac:dyDescent="0.3">
      <c r="A12" s="5" t="s">
        <v>559</v>
      </c>
      <c r="B12" s="5" t="s">
        <v>90</v>
      </c>
      <c r="C12" s="5" t="str">
        <f>VLOOKUP(B12,Fleet_Vehicle_Data!$A:$B,2,FALSE)</f>
        <v>Honda</v>
      </c>
      <c r="D12" s="5" t="s">
        <v>560</v>
      </c>
      <c r="E12" s="5" t="s">
        <v>227</v>
      </c>
      <c r="F12" s="5">
        <v>2748</v>
      </c>
      <c r="G12" s="5">
        <v>7</v>
      </c>
      <c r="H12" s="5" t="s">
        <v>543</v>
      </c>
      <c r="I12" s="5" t="s">
        <v>526</v>
      </c>
      <c r="J12" s="5" t="s">
        <v>554</v>
      </c>
      <c r="K12" s="5" t="s">
        <v>550</v>
      </c>
    </row>
    <row r="13" spans="1:11" x14ac:dyDescent="0.3">
      <c r="A13" s="8" t="s">
        <v>561</v>
      </c>
      <c r="B13" s="8" t="s">
        <v>125</v>
      </c>
      <c r="C13" s="8" t="str">
        <f>VLOOKUP(B13,Fleet_Vehicle_Data!$A:$B,2,FALSE)</f>
        <v>Tata</v>
      </c>
      <c r="D13" s="8" t="s">
        <v>562</v>
      </c>
      <c r="E13" s="8" t="s">
        <v>115</v>
      </c>
      <c r="F13" s="8">
        <v>37845</v>
      </c>
      <c r="G13" s="8">
        <v>3</v>
      </c>
      <c r="H13" s="8" t="s">
        <v>552</v>
      </c>
      <c r="I13" s="8" t="s">
        <v>563</v>
      </c>
      <c r="J13" s="8" t="s">
        <v>564</v>
      </c>
      <c r="K13" s="8" t="s">
        <v>528</v>
      </c>
    </row>
    <row r="14" spans="1:11" x14ac:dyDescent="0.3">
      <c r="A14" s="5" t="s">
        <v>565</v>
      </c>
      <c r="B14" s="5" t="s">
        <v>107</v>
      </c>
      <c r="C14" s="5" t="str">
        <f>VLOOKUP(B14,Fleet_Vehicle_Data!$A:$B,2,FALSE)</f>
        <v>Toyota</v>
      </c>
      <c r="D14" s="5" t="s">
        <v>547</v>
      </c>
      <c r="E14" s="5" t="s">
        <v>227</v>
      </c>
      <c r="F14" s="5">
        <v>26837</v>
      </c>
      <c r="G14" s="5">
        <v>2</v>
      </c>
      <c r="H14" s="5" t="s">
        <v>536</v>
      </c>
      <c r="I14" s="5" t="s">
        <v>556</v>
      </c>
      <c r="J14" s="5" t="s">
        <v>566</v>
      </c>
      <c r="K14" s="5" t="s">
        <v>522</v>
      </c>
    </row>
    <row r="15" spans="1:11" x14ac:dyDescent="0.3">
      <c r="A15" s="8" t="s">
        <v>567</v>
      </c>
      <c r="B15" s="8" t="s">
        <v>144</v>
      </c>
      <c r="C15" s="8" t="str">
        <f>VLOOKUP(B15,Fleet_Vehicle_Data!$A:$B,2,FALSE)</f>
        <v>Maruti</v>
      </c>
      <c r="D15" s="8" t="s">
        <v>530</v>
      </c>
      <c r="E15" s="8" t="s">
        <v>204</v>
      </c>
      <c r="F15" s="8">
        <v>4197</v>
      </c>
      <c r="G15" s="8">
        <v>13</v>
      </c>
      <c r="H15" s="8" t="s">
        <v>525</v>
      </c>
      <c r="I15" s="8" t="s">
        <v>568</v>
      </c>
      <c r="J15" s="8" t="s">
        <v>564</v>
      </c>
      <c r="K15" s="8" t="s">
        <v>550</v>
      </c>
    </row>
    <row r="16" spans="1:11" x14ac:dyDescent="0.3">
      <c r="A16" s="5" t="s">
        <v>569</v>
      </c>
      <c r="B16" s="5" t="s">
        <v>167</v>
      </c>
      <c r="C16" s="5" t="str">
        <f>VLOOKUP(B16,Fleet_Vehicle_Data!$A:$B,2,FALSE)</f>
        <v>Honda</v>
      </c>
      <c r="D16" s="5" t="s">
        <v>547</v>
      </c>
      <c r="E16" s="5" t="s">
        <v>570</v>
      </c>
      <c r="F16" s="5">
        <v>39539</v>
      </c>
      <c r="G16" s="5">
        <v>13</v>
      </c>
      <c r="H16" s="5" t="s">
        <v>519</v>
      </c>
      <c r="I16" s="5" t="s">
        <v>548</v>
      </c>
      <c r="J16" s="5" t="s">
        <v>571</v>
      </c>
      <c r="K16" s="5" t="s">
        <v>528</v>
      </c>
    </row>
    <row r="17" spans="1:11" x14ac:dyDescent="0.3">
      <c r="A17" s="8" t="s">
        <v>572</v>
      </c>
      <c r="B17" s="8" t="s">
        <v>110</v>
      </c>
      <c r="C17" s="8" t="str">
        <f>VLOOKUP(B17,Fleet_Vehicle_Data!$A:$B,2,FALSE)</f>
        <v>Hyundai</v>
      </c>
      <c r="D17" s="8" t="s">
        <v>534</v>
      </c>
      <c r="E17" s="8" t="s">
        <v>140</v>
      </c>
      <c r="F17" s="8">
        <v>34091</v>
      </c>
      <c r="G17" s="8">
        <v>15</v>
      </c>
      <c r="H17" s="8" t="s">
        <v>543</v>
      </c>
      <c r="I17" s="8" t="s">
        <v>573</v>
      </c>
      <c r="J17" s="8" t="s">
        <v>574</v>
      </c>
      <c r="K17" s="8" t="s">
        <v>550</v>
      </c>
    </row>
    <row r="18" spans="1:11" x14ac:dyDescent="0.3">
      <c r="A18" s="5" t="s">
        <v>575</v>
      </c>
      <c r="B18" s="5" t="s">
        <v>164</v>
      </c>
      <c r="C18" s="5" t="str">
        <f>VLOOKUP(B18,Fleet_Vehicle_Data!$A:$B,2,FALSE)</f>
        <v>Maruti</v>
      </c>
      <c r="D18" s="5" t="s">
        <v>517</v>
      </c>
      <c r="E18" s="5" t="s">
        <v>576</v>
      </c>
      <c r="F18" s="5">
        <v>39454</v>
      </c>
      <c r="G18" s="5">
        <v>9</v>
      </c>
      <c r="H18" s="5" t="s">
        <v>536</v>
      </c>
      <c r="I18" s="5" t="s">
        <v>548</v>
      </c>
      <c r="J18" s="5" t="s">
        <v>577</v>
      </c>
      <c r="K18" s="5" t="s">
        <v>578</v>
      </c>
    </row>
    <row r="19" spans="1:11" x14ac:dyDescent="0.3">
      <c r="A19" s="8" t="s">
        <v>579</v>
      </c>
      <c r="B19" s="8" t="s">
        <v>113</v>
      </c>
      <c r="C19" s="8" t="str">
        <f>VLOOKUP(B19,Fleet_Vehicle_Data!$A:$B,2,FALSE)</f>
        <v>Tata</v>
      </c>
      <c r="D19" s="8" t="s">
        <v>580</v>
      </c>
      <c r="E19" s="8" t="s">
        <v>581</v>
      </c>
      <c r="F19" s="8">
        <v>26704</v>
      </c>
      <c r="G19" s="8">
        <v>1</v>
      </c>
      <c r="H19" s="8" t="s">
        <v>582</v>
      </c>
      <c r="I19" s="8" t="s">
        <v>556</v>
      </c>
      <c r="J19" s="8" t="s">
        <v>583</v>
      </c>
      <c r="K19" s="8" t="s">
        <v>578</v>
      </c>
    </row>
    <row r="20" spans="1:11" x14ac:dyDescent="0.3">
      <c r="A20" s="5" t="s">
        <v>584</v>
      </c>
      <c r="B20" s="5" t="s">
        <v>102</v>
      </c>
      <c r="C20" s="5" t="str">
        <f>VLOOKUP(B20,Fleet_Vehicle_Data!$A:$B,2,FALSE)</f>
        <v>Maruti</v>
      </c>
      <c r="D20" s="5" t="s">
        <v>560</v>
      </c>
      <c r="E20" s="5" t="s">
        <v>585</v>
      </c>
      <c r="F20" s="5">
        <v>30668</v>
      </c>
      <c r="G20" s="5">
        <v>12</v>
      </c>
      <c r="H20" s="5" t="s">
        <v>536</v>
      </c>
      <c r="I20" s="5" t="s">
        <v>548</v>
      </c>
      <c r="J20" s="5" t="s">
        <v>540</v>
      </c>
      <c r="K20" s="5" t="s">
        <v>550</v>
      </c>
    </row>
    <row r="21" spans="1:11" x14ac:dyDescent="0.3">
      <c r="A21" s="8" t="s">
        <v>586</v>
      </c>
      <c r="B21" s="8" t="s">
        <v>141</v>
      </c>
      <c r="C21" s="8" t="str">
        <f>VLOOKUP(B21,Fleet_Vehicle_Data!$A:$B,2,FALSE)</f>
        <v>Tata</v>
      </c>
      <c r="D21" s="8" t="s">
        <v>539</v>
      </c>
      <c r="E21" s="8" t="s">
        <v>376</v>
      </c>
      <c r="F21" s="8">
        <v>20518</v>
      </c>
      <c r="G21" s="8">
        <v>4</v>
      </c>
      <c r="H21" s="8" t="s">
        <v>552</v>
      </c>
      <c r="I21" s="8" t="s">
        <v>587</v>
      </c>
      <c r="J21" s="8" t="s">
        <v>588</v>
      </c>
      <c r="K21" s="8" t="s">
        <v>522</v>
      </c>
    </row>
    <row r="22" spans="1:11" x14ac:dyDescent="0.3">
      <c r="A22" s="5" t="s">
        <v>589</v>
      </c>
      <c r="B22" s="5" t="s">
        <v>77</v>
      </c>
      <c r="C22" s="5" t="str">
        <f>VLOOKUP(B22,Fleet_Vehicle_Data!$A:$B,2,FALSE)</f>
        <v>Tata</v>
      </c>
      <c r="D22" s="5" t="s">
        <v>580</v>
      </c>
      <c r="E22" s="5" t="s">
        <v>590</v>
      </c>
      <c r="F22" s="5">
        <v>6135</v>
      </c>
      <c r="G22" s="5">
        <v>8</v>
      </c>
      <c r="H22" s="5" t="s">
        <v>582</v>
      </c>
      <c r="I22" s="5" t="s">
        <v>548</v>
      </c>
      <c r="J22" s="5" t="s">
        <v>591</v>
      </c>
      <c r="K22" s="5" t="s">
        <v>522</v>
      </c>
    </row>
    <row r="23" spans="1:11" x14ac:dyDescent="0.3">
      <c r="A23" s="8" t="s">
        <v>592</v>
      </c>
      <c r="B23" s="8" t="s">
        <v>70</v>
      </c>
      <c r="C23" s="8" t="str">
        <f>VLOOKUP(B23,Fleet_Vehicle_Data!$A:$B,2,FALSE)</f>
        <v>Maruti</v>
      </c>
      <c r="D23" s="8" t="s">
        <v>580</v>
      </c>
      <c r="E23" s="8" t="s">
        <v>363</v>
      </c>
      <c r="F23" s="8">
        <v>32307</v>
      </c>
      <c r="G23" s="8">
        <v>5</v>
      </c>
      <c r="H23" s="8" t="s">
        <v>543</v>
      </c>
      <c r="I23" s="8" t="s">
        <v>520</v>
      </c>
      <c r="J23" s="8" t="s">
        <v>593</v>
      </c>
      <c r="K23" s="8" t="s">
        <v>528</v>
      </c>
    </row>
    <row r="24" spans="1:11" x14ac:dyDescent="0.3">
      <c r="A24" s="5" t="s">
        <v>594</v>
      </c>
      <c r="B24" s="5" t="s">
        <v>110</v>
      </c>
      <c r="C24" s="5" t="str">
        <f>VLOOKUP(B24,Fleet_Vehicle_Data!$A:$B,2,FALSE)</f>
        <v>Hyundai</v>
      </c>
      <c r="D24" s="5" t="s">
        <v>547</v>
      </c>
      <c r="E24" s="5" t="s">
        <v>233</v>
      </c>
      <c r="F24" s="5">
        <v>22127</v>
      </c>
      <c r="G24" s="5">
        <v>13</v>
      </c>
      <c r="H24" s="5" t="s">
        <v>582</v>
      </c>
      <c r="I24" s="5" t="s">
        <v>587</v>
      </c>
      <c r="J24" s="5" t="s">
        <v>595</v>
      </c>
      <c r="K24" s="5" t="s">
        <v>522</v>
      </c>
    </row>
    <row r="25" spans="1:11" x14ac:dyDescent="0.3">
      <c r="A25" s="8" t="s">
        <v>596</v>
      </c>
      <c r="B25" s="8" t="s">
        <v>94</v>
      </c>
      <c r="C25" s="8" t="str">
        <f>VLOOKUP(B25,Fleet_Vehicle_Data!$A:$B,2,FALSE)</f>
        <v>Kia</v>
      </c>
      <c r="D25" s="8" t="s">
        <v>539</v>
      </c>
      <c r="E25" s="8" t="s">
        <v>261</v>
      </c>
      <c r="F25" s="8">
        <v>30254</v>
      </c>
      <c r="G25" s="8">
        <v>10</v>
      </c>
      <c r="H25" s="8" t="s">
        <v>543</v>
      </c>
      <c r="I25" s="8" t="s">
        <v>587</v>
      </c>
      <c r="J25" s="8" t="s">
        <v>597</v>
      </c>
      <c r="K25" s="8" t="s">
        <v>528</v>
      </c>
    </row>
    <row r="26" spans="1:11" x14ac:dyDescent="0.3">
      <c r="A26" s="5" t="s">
        <v>598</v>
      </c>
      <c r="B26" s="5" t="s">
        <v>157</v>
      </c>
      <c r="C26" s="5" t="str">
        <f>VLOOKUP(B26,Fleet_Vehicle_Data!$A:$B,2,FALSE)</f>
        <v>BYD</v>
      </c>
      <c r="D26" s="5" t="s">
        <v>534</v>
      </c>
      <c r="E26" s="5" t="s">
        <v>140</v>
      </c>
      <c r="F26" s="5">
        <v>35941</v>
      </c>
      <c r="G26" s="5">
        <v>5</v>
      </c>
      <c r="H26" s="5" t="s">
        <v>519</v>
      </c>
      <c r="I26" s="5" t="s">
        <v>573</v>
      </c>
      <c r="J26" s="5" t="s">
        <v>599</v>
      </c>
      <c r="K26" s="5" t="s">
        <v>528</v>
      </c>
    </row>
    <row r="27" spans="1:11" x14ac:dyDescent="0.3">
      <c r="A27" s="8" t="s">
        <v>600</v>
      </c>
      <c r="B27" s="8" t="s">
        <v>128</v>
      </c>
      <c r="C27" s="8" t="str">
        <f>VLOOKUP(B27,Fleet_Vehicle_Data!$A:$B,2,FALSE)</f>
        <v>Maruti</v>
      </c>
      <c r="D27" s="8" t="s">
        <v>547</v>
      </c>
      <c r="E27" s="8" t="s">
        <v>270</v>
      </c>
      <c r="F27" s="8">
        <v>22421</v>
      </c>
      <c r="G27" s="8">
        <v>3</v>
      </c>
      <c r="H27" s="8" t="s">
        <v>552</v>
      </c>
      <c r="I27" s="8" t="s">
        <v>563</v>
      </c>
      <c r="J27" s="8" t="s">
        <v>601</v>
      </c>
      <c r="K27" s="8" t="s">
        <v>528</v>
      </c>
    </row>
    <row r="28" spans="1:11" x14ac:dyDescent="0.3">
      <c r="A28" s="5" t="s">
        <v>602</v>
      </c>
      <c r="B28" s="5" t="s">
        <v>90</v>
      </c>
      <c r="C28" s="5" t="str">
        <f>VLOOKUP(B28,Fleet_Vehicle_Data!$A:$B,2,FALSE)</f>
        <v>Honda</v>
      </c>
      <c r="D28" s="5" t="s">
        <v>580</v>
      </c>
      <c r="E28" s="5" t="s">
        <v>198</v>
      </c>
      <c r="F28" s="5">
        <v>19147</v>
      </c>
      <c r="G28" s="5">
        <v>13</v>
      </c>
      <c r="H28" s="5" t="s">
        <v>543</v>
      </c>
      <c r="I28" s="5" t="s">
        <v>587</v>
      </c>
      <c r="J28" s="5" t="s">
        <v>603</v>
      </c>
      <c r="K28" s="5" t="s">
        <v>550</v>
      </c>
    </row>
    <row r="29" spans="1:11" x14ac:dyDescent="0.3">
      <c r="A29" s="8" t="s">
        <v>604</v>
      </c>
      <c r="B29" s="8" t="s">
        <v>157</v>
      </c>
      <c r="C29" s="8" t="str">
        <f>VLOOKUP(B29,Fleet_Vehicle_Data!$A:$B,2,FALSE)</f>
        <v>BYD</v>
      </c>
      <c r="D29" s="8" t="s">
        <v>562</v>
      </c>
      <c r="E29" s="8" t="s">
        <v>220</v>
      </c>
      <c r="F29" s="8">
        <v>22311</v>
      </c>
      <c r="G29" s="8">
        <v>12</v>
      </c>
      <c r="H29" s="8" t="s">
        <v>525</v>
      </c>
      <c r="I29" s="8" t="s">
        <v>587</v>
      </c>
      <c r="J29" s="8" t="s">
        <v>605</v>
      </c>
      <c r="K29" s="8" t="s">
        <v>550</v>
      </c>
    </row>
    <row r="30" spans="1:11" x14ac:dyDescent="0.3">
      <c r="A30" s="5" t="s">
        <v>606</v>
      </c>
      <c r="B30" s="5" t="s">
        <v>138</v>
      </c>
      <c r="C30" s="5" t="str">
        <f>VLOOKUP(B30,Fleet_Vehicle_Data!$A:$B,2,FALSE)</f>
        <v>MG</v>
      </c>
      <c r="D30" s="5" t="s">
        <v>517</v>
      </c>
      <c r="E30" s="5" t="s">
        <v>263</v>
      </c>
      <c r="F30" s="5">
        <v>14078</v>
      </c>
      <c r="G30" s="5">
        <v>9</v>
      </c>
      <c r="H30" s="5" t="s">
        <v>552</v>
      </c>
      <c r="I30" s="5" t="s">
        <v>526</v>
      </c>
      <c r="J30" s="5" t="s">
        <v>607</v>
      </c>
      <c r="K30" s="5" t="s">
        <v>522</v>
      </c>
    </row>
    <row r="31" spans="1:11" x14ac:dyDescent="0.3">
      <c r="A31" s="8" t="s">
        <v>608</v>
      </c>
      <c r="B31" s="8" t="s">
        <v>135</v>
      </c>
      <c r="C31" s="8" t="str">
        <f>VLOOKUP(B31,Fleet_Vehicle_Data!$A:$B,2,FALSE)</f>
        <v>Toyota</v>
      </c>
      <c r="D31" s="8" t="s">
        <v>530</v>
      </c>
      <c r="E31" s="8" t="s">
        <v>288</v>
      </c>
      <c r="F31" s="8">
        <v>40836</v>
      </c>
      <c r="G31" s="8">
        <v>11</v>
      </c>
      <c r="H31" s="8" t="s">
        <v>543</v>
      </c>
      <c r="I31" s="8" t="s">
        <v>548</v>
      </c>
      <c r="J31" s="8" t="s">
        <v>540</v>
      </c>
      <c r="K31" s="8" t="s">
        <v>528</v>
      </c>
    </row>
    <row r="32" spans="1:11" x14ac:dyDescent="0.3">
      <c r="A32" s="5" t="s">
        <v>609</v>
      </c>
      <c r="B32" s="5" t="s">
        <v>84</v>
      </c>
      <c r="C32" s="5" t="str">
        <f>VLOOKUP(B32,Fleet_Vehicle_Data!$A:$B,2,FALSE)</f>
        <v>Mahindra</v>
      </c>
      <c r="D32" s="5" t="s">
        <v>530</v>
      </c>
      <c r="E32" s="5" t="s">
        <v>268</v>
      </c>
      <c r="F32" s="5">
        <v>40908</v>
      </c>
      <c r="G32" s="5">
        <v>5</v>
      </c>
      <c r="H32" s="5" t="s">
        <v>536</v>
      </c>
      <c r="I32" s="5" t="s">
        <v>520</v>
      </c>
      <c r="J32" s="5" t="s">
        <v>610</v>
      </c>
      <c r="K32" s="5" t="s">
        <v>528</v>
      </c>
    </row>
    <row r="33" spans="1:11" x14ac:dyDescent="0.3">
      <c r="A33" s="8" t="s">
        <v>611</v>
      </c>
      <c r="B33" s="8" t="s">
        <v>70</v>
      </c>
      <c r="C33" s="8" t="str">
        <f>VLOOKUP(B33,Fleet_Vehicle_Data!$A:$B,2,FALSE)</f>
        <v>Maruti</v>
      </c>
      <c r="D33" s="8" t="s">
        <v>517</v>
      </c>
      <c r="E33" s="8" t="s">
        <v>338</v>
      </c>
      <c r="F33" s="8">
        <v>15148</v>
      </c>
      <c r="G33" s="8">
        <v>0</v>
      </c>
      <c r="H33" s="8" t="s">
        <v>552</v>
      </c>
      <c r="I33" s="8" t="s">
        <v>563</v>
      </c>
      <c r="J33" s="8" t="s">
        <v>612</v>
      </c>
      <c r="K33" s="8" t="s">
        <v>550</v>
      </c>
    </row>
    <row r="34" spans="1:11" x14ac:dyDescent="0.3">
      <c r="A34" s="5" t="s">
        <v>613</v>
      </c>
      <c r="B34" s="5" t="s">
        <v>98</v>
      </c>
      <c r="C34" s="5" t="str">
        <f>VLOOKUP(B34,Fleet_Vehicle_Data!$A:$B,2,FALSE)</f>
        <v>MG</v>
      </c>
      <c r="D34" s="5" t="s">
        <v>534</v>
      </c>
      <c r="E34" s="5" t="s">
        <v>365</v>
      </c>
      <c r="F34" s="5">
        <v>5269</v>
      </c>
      <c r="G34" s="5">
        <v>13</v>
      </c>
      <c r="H34" s="5" t="s">
        <v>536</v>
      </c>
      <c r="I34" s="5" t="s">
        <v>568</v>
      </c>
      <c r="J34" s="5" t="s">
        <v>614</v>
      </c>
      <c r="K34" s="5" t="s">
        <v>528</v>
      </c>
    </row>
    <row r="35" spans="1:11" x14ac:dyDescent="0.3">
      <c r="A35" s="8" t="s">
        <v>615</v>
      </c>
      <c r="B35" s="8" t="s">
        <v>125</v>
      </c>
      <c r="C35" s="8" t="str">
        <f>VLOOKUP(B35,Fleet_Vehicle_Data!$A:$B,2,FALSE)</f>
        <v>Tata</v>
      </c>
      <c r="D35" s="8" t="s">
        <v>547</v>
      </c>
      <c r="E35" s="8" t="s">
        <v>616</v>
      </c>
      <c r="F35" s="8">
        <v>24428</v>
      </c>
      <c r="G35" s="8">
        <v>6</v>
      </c>
      <c r="H35" s="8" t="s">
        <v>582</v>
      </c>
      <c r="I35" s="8" t="s">
        <v>553</v>
      </c>
      <c r="J35" s="8" t="s">
        <v>617</v>
      </c>
      <c r="K35" s="8" t="s">
        <v>522</v>
      </c>
    </row>
    <row r="36" spans="1:11" x14ac:dyDescent="0.3">
      <c r="A36" s="5" t="s">
        <v>618</v>
      </c>
      <c r="B36" s="5" t="s">
        <v>144</v>
      </c>
      <c r="C36" s="5" t="str">
        <f>VLOOKUP(B36,Fleet_Vehicle_Data!$A:$B,2,FALSE)</f>
        <v>Maruti</v>
      </c>
      <c r="D36" s="5" t="s">
        <v>539</v>
      </c>
      <c r="E36" s="5" t="s">
        <v>338</v>
      </c>
      <c r="F36" s="5">
        <v>37379</v>
      </c>
      <c r="G36" s="5">
        <v>6</v>
      </c>
      <c r="H36" s="5" t="s">
        <v>519</v>
      </c>
      <c r="I36" s="5" t="s">
        <v>553</v>
      </c>
      <c r="J36" s="5" t="s">
        <v>619</v>
      </c>
      <c r="K36" s="5" t="s">
        <v>522</v>
      </c>
    </row>
    <row r="37" spans="1:11" x14ac:dyDescent="0.3">
      <c r="A37" s="8" t="s">
        <v>620</v>
      </c>
      <c r="B37" s="8" t="s">
        <v>128</v>
      </c>
      <c r="C37" s="8" t="str">
        <f>VLOOKUP(B37,Fleet_Vehicle_Data!$A:$B,2,FALSE)</f>
        <v>Maruti</v>
      </c>
      <c r="D37" s="8" t="s">
        <v>534</v>
      </c>
      <c r="E37" s="8" t="s">
        <v>261</v>
      </c>
      <c r="F37" s="8">
        <v>20529</v>
      </c>
      <c r="G37" s="8">
        <v>15</v>
      </c>
      <c r="H37" s="8" t="s">
        <v>525</v>
      </c>
      <c r="I37" s="8" t="s">
        <v>568</v>
      </c>
      <c r="J37" s="8" t="s">
        <v>621</v>
      </c>
      <c r="K37" s="8" t="s">
        <v>550</v>
      </c>
    </row>
    <row r="38" spans="1:11" x14ac:dyDescent="0.3">
      <c r="A38" s="5" t="s">
        <v>622</v>
      </c>
      <c r="B38" s="5" t="s">
        <v>151</v>
      </c>
      <c r="C38" s="5" t="str">
        <f>VLOOKUP(B38,Fleet_Vehicle_Data!$A:$B,2,FALSE)</f>
        <v>Kia</v>
      </c>
      <c r="D38" s="5" t="s">
        <v>542</v>
      </c>
      <c r="E38" s="5" t="s">
        <v>298</v>
      </c>
      <c r="F38" s="5">
        <v>16954</v>
      </c>
      <c r="G38" s="5">
        <v>3</v>
      </c>
      <c r="H38" s="5" t="s">
        <v>543</v>
      </c>
      <c r="I38" s="5" t="s">
        <v>520</v>
      </c>
      <c r="J38" s="5" t="s">
        <v>623</v>
      </c>
      <c r="K38" s="5" t="s">
        <v>528</v>
      </c>
    </row>
    <row r="39" spans="1:11" x14ac:dyDescent="0.3">
      <c r="A39" s="8" t="s">
        <v>624</v>
      </c>
      <c r="B39" s="8" t="s">
        <v>151</v>
      </c>
      <c r="C39" s="8" t="str">
        <f>VLOOKUP(B39,Fleet_Vehicle_Data!$A:$B,2,FALSE)</f>
        <v>Kia</v>
      </c>
      <c r="D39" s="8" t="s">
        <v>517</v>
      </c>
      <c r="E39" s="8" t="s">
        <v>220</v>
      </c>
      <c r="F39" s="8">
        <v>16764</v>
      </c>
      <c r="G39" s="8">
        <v>10</v>
      </c>
      <c r="H39" s="8" t="s">
        <v>525</v>
      </c>
      <c r="I39" s="8" t="s">
        <v>556</v>
      </c>
      <c r="J39" s="8" t="s">
        <v>625</v>
      </c>
      <c r="K39" s="8" t="s">
        <v>578</v>
      </c>
    </row>
    <row r="40" spans="1:11" x14ac:dyDescent="0.3">
      <c r="A40" s="5" t="s">
        <v>626</v>
      </c>
      <c r="B40" s="5" t="s">
        <v>154</v>
      </c>
      <c r="C40" s="5" t="str">
        <f>VLOOKUP(B40,Fleet_Vehicle_Data!$A:$B,2,FALSE)</f>
        <v>Tata</v>
      </c>
      <c r="D40" s="5" t="s">
        <v>539</v>
      </c>
      <c r="E40" s="5" t="s">
        <v>244</v>
      </c>
      <c r="F40" s="5">
        <v>38870</v>
      </c>
      <c r="G40" s="5">
        <v>6</v>
      </c>
      <c r="H40" s="5" t="s">
        <v>543</v>
      </c>
      <c r="I40" s="5" t="s">
        <v>573</v>
      </c>
      <c r="J40" s="5" t="s">
        <v>627</v>
      </c>
      <c r="K40" s="5" t="s">
        <v>550</v>
      </c>
    </row>
    <row r="41" spans="1:11" x14ac:dyDescent="0.3">
      <c r="A41" s="8" t="s">
        <v>628</v>
      </c>
      <c r="B41" s="8" t="s">
        <v>147</v>
      </c>
      <c r="C41" s="8" t="str">
        <f>VLOOKUP(B41,Fleet_Vehicle_Data!$A:$B,2,FALSE)</f>
        <v>Hyundai</v>
      </c>
      <c r="D41" s="8" t="s">
        <v>534</v>
      </c>
      <c r="E41" s="8" t="s">
        <v>629</v>
      </c>
      <c r="F41" s="8">
        <v>10981</v>
      </c>
      <c r="G41" s="8">
        <v>3</v>
      </c>
      <c r="H41" s="8" t="s">
        <v>543</v>
      </c>
      <c r="I41" s="8" t="s">
        <v>553</v>
      </c>
      <c r="J41" s="8" t="s">
        <v>630</v>
      </c>
      <c r="K41" s="8" t="s">
        <v>550</v>
      </c>
    </row>
    <row r="42" spans="1:11" x14ac:dyDescent="0.3">
      <c r="A42" s="5" t="s">
        <v>631</v>
      </c>
      <c r="B42" s="5" t="s">
        <v>90</v>
      </c>
      <c r="C42" s="5" t="str">
        <f>VLOOKUP(B42,Fleet_Vehicle_Data!$A:$B,2,FALSE)</f>
        <v>Honda</v>
      </c>
      <c r="D42" s="5" t="s">
        <v>542</v>
      </c>
      <c r="E42" s="5" t="s">
        <v>300</v>
      </c>
      <c r="F42" s="5">
        <v>7251</v>
      </c>
      <c r="G42" s="5">
        <v>0</v>
      </c>
      <c r="H42" s="5" t="s">
        <v>536</v>
      </c>
      <c r="I42" s="5" t="s">
        <v>556</v>
      </c>
      <c r="J42" s="5" t="s">
        <v>566</v>
      </c>
      <c r="K42" s="5" t="s">
        <v>528</v>
      </c>
    </row>
    <row r="43" spans="1:11" x14ac:dyDescent="0.3">
      <c r="A43" s="8" t="s">
        <v>632</v>
      </c>
      <c r="B43" s="8" t="s">
        <v>157</v>
      </c>
      <c r="C43" s="8" t="str">
        <f>VLOOKUP(B43,Fleet_Vehicle_Data!$A:$B,2,FALSE)</f>
        <v>BYD</v>
      </c>
      <c r="D43" s="8" t="s">
        <v>547</v>
      </c>
      <c r="E43" s="8" t="s">
        <v>633</v>
      </c>
      <c r="F43" s="8">
        <v>21325</v>
      </c>
      <c r="G43" s="8">
        <v>2</v>
      </c>
      <c r="H43" s="8" t="s">
        <v>519</v>
      </c>
      <c r="I43" s="8" t="s">
        <v>587</v>
      </c>
      <c r="J43" s="8" t="s">
        <v>634</v>
      </c>
      <c r="K43" s="8" t="s">
        <v>550</v>
      </c>
    </row>
    <row r="44" spans="1:11" x14ac:dyDescent="0.3">
      <c r="A44" s="5" t="s">
        <v>635</v>
      </c>
      <c r="B44" s="5" t="s">
        <v>63</v>
      </c>
      <c r="C44" s="5" t="str">
        <f>VLOOKUP(B44,Fleet_Vehicle_Data!$A:$B,2,FALSE)</f>
        <v>Hyundai</v>
      </c>
      <c r="D44" s="5" t="s">
        <v>560</v>
      </c>
      <c r="E44" s="5" t="s">
        <v>160</v>
      </c>
      <c r="F44" s="5">
        <v>43295</v>
      </c>
      <c r="G44" s="5">
        <v>5</v>
      </c>
      <c r="H44" s="5" t="s">
        <v>536</v>
      </c>
      <c r="I44" s="5" t="s">
        <v>544</v>
      </c>
      <c r="J44" s="5" t="s">
        <v>636</v>
      </c>
      <c r="K44" s="5" t="s">
        <v>528</v>
      </c>
    </row>
    <row r="45" spans="1:11" x14ac:dyDescent="0.3">
      <c r="A45" s="8" t="s">
        <v>637</v>
      </c>
      <c r="B45" s="8" t="s">
        <v>170</v>
      </c>
      <c r="C45" s="8" t="str">
        <f>VLOOKUP(B45,Fleet_Vehicle_Data!$A:$B,2,FALSE)</f>
        <v>Toyota</v>
      </c>
      <c r="D45" s="8" t="s">
        <v>530</v>
      </c>
      <c r="E45" s="8" t="s">
        <v>328</v>
      </c>
      <c r="F45" s="8">
        <v>23714</v>
      </c>
      <c r="G45" s="8">
        <v>0</v>
      </c>
      <c r="H45" s="8" t="s">
        <v>525</v>
      </c>
      <c r="I45" s="8" t="s">
        <v>548</v>
      </c>
      <c r="J45" s="8" t="s">
        <v>638</v>
      </c>
      <c r="K45" s="8" t="s">
        <v>578</v>
      </c>
    </row>
    <row r="46" spans="1:11" x14ac:dyDescent="0.3">
      <c r="A46" s="5" t="s">
        <v>639</v>
      </c>
      <c r="B46" s="5" t="s">
        <v>119</v>
      </c>
      <c r="C46" s="5" t="str">
        <f>VLOOKUP(B46,Fleet_Vehicle_Data!$A:$B,2,FALSE)</f>
        <v>Honda</v>
      </c>
      <c r="D46" s="5" t="s">
        <v>517</v>
      </c>
      <c r="E46" s="5" t="s">
        <v>640</v>
      </c>
      <c r="F46" s="5">
        <v>29399</v>
      </c>
      <c r="G46" s="5">
        <v>15</v>
      </c>
      <c r="H46" s="5" t="s">
        <v>543</v>
      </c>
      <c r="I46" s="5" t="s">
        <v>544</v>
      </c>
      <c r="J46" s="5" t="s">
        <v>641</v>
      </c>
      <c r="K46" s="5" t="s">
        <v>522</v>
      </c>
    </row>
    <row r="47" spans="1:11" x14ac:dyDescent="0.3">
      <c r="A47" s="8" t="s">
        <v>642</v>
      </c>
      <c r="B47" s="8" t="s">
        <v>157</v>
      </c>
      <c r="C47" s="8" t="str">
        <f>VLOOKUP(B47,Fleet_Vehicle_Data!$A:$B,2,FALSE)</f>
        <v>BYD</v>
      </c>
      <c r="D47" s="8" t="s">
        <v>542</v>
      </c>
      <c r="E47" s="8" t="s">
        <v>570</v>
      </c>
      <c r="F47" s="8">
        <v>36231</v>
      </c>
      <c r="G47" s="8">
        <v>4</v>
      </c>
      <c r="H47" s="8" t="s">
        <v>536</v>
      </c>
      <c r="I47" s="8" t="s">
        <v>548</v>
      </c>
      <c r="J47" s="8" t="s">
        <v>643</v>
      </c>
      <c r="K47" s="8" t="s">
        <v>528</v>
      </c>
    </row>
    <row r="48" spans="1:11" x14ac:dyDescent="0.3">
      <c r="A48" s="5" t="s">
        <v>644</v>
      </c>
      <c r="B48" s="5" t="s">
        <v>170</v>
      </c>
      <c r="C48" s="5" t="str">
        <f>VLOOKUP(B48,Fleet_Vehicle_Data!$A:$B,2,FALSE)</f>
        <v>Toyota</v>
      </c>
      <c r="D48" s="5" t="s">
        <v>517</v>
      </c>
      <c r="E48" s="5" t="s">
        <v>345</v>
      </c>
      <c r="F48" s="5">
        <v>26920</v>
      </c>
      <c r="G48" s="5">
        <v>7</v>
      </c>
      <c r="H48" s="5" t="s">
        <v>582</v>
      </c>
      <c r="I48" s="5" t="s">
        <v>548</v>
      </c>
      <c r="J48" s="5" t="s">
        <v>645</v>
      </c>
      <c r="K48" s="5" t="s">
        <v>578</v>
      </c>
    </row>
    <row r="49" spans="1:11" x14ac:dyDescent="0.3">
      <c r="A49" s="8" t="s">
        <v>646</v>
      </c>
      <c r="B49" s="8" t="s">
        <v>144</v>
      </c>
      <c r="C49" s="8" t="str">
        <f>VLOOKUP(B49,Fleet_Vehicle_Data!$A:$B,2,FALSE)</f>
        <v>Maruti</v>
      </c>
      <c r="D49" s="8" t="s">
        <v>580</v>
      </c>
      <c r="E49" s="8" t="s">
        <v>647</v>
      </c>
      <c r="F49" s="8">
        <v>26514</v>
      </c>
      <c r="G49" s="8">
        <v>4</v>
      </c>
      <c r="H49" s="8" t="s">
        <v>519</v>
      </c>
      <c r="I49" s="8" t="s">
        <v>587</v>
      </c>
      <c r="J49" s="8" t="s">
        <v>648</v>
      </c>
      <c r="K49" s="8" t="s">
        <v>528</v>
      </c>
    </row>
    <row r="50" spans="1:11" x14ac:dyDescent="0.3">
      <c r="A50" s="5" t="s">
        <v>649</v>
      </c>
      <c r="B50" s="5" t="s">
        <v>138</v>
      </c>
      <c r="C50" s="5" t="str">
        <f>VLOOKUP(B50,Fleet_Vehicle_Data!$A:$B,2,FALSE)</f>
        <v>MG</v>
      </c>
      <c r="D50" s="5" t="s">
        <v>560</v>
      </c>
      <c r="E50" s="5" t="s">
        <v>204</v>
      </c>
      <c r="F50" s="5">
        <v>37320</v>
      </c>
      <c r="G50" s="5">
        <v>4</v>
      </c>
      <c r="H50" s="5" t="s">
        <v>552</v>
      </c>
      <c r="I50" s="5" t="s">
        <v>568</v>
      </c>
      <c r="J50" s="5" t="s">
        <v>650</v>
      </c>
      <c r="K50" s="5" t="s">
        <v>578</v>
      </c>
    </row>
    <row r="51" spans="1:11" x14ac:dyDescent="0.3">
      <c r="A51" s="8" t="s">
        <v>651</v>
      </c>
      <c r="B51" s="8" t="s">
        <v>154</v>
      </c>
      <c r="C51" s="8" t="str">
        <f>VLOOKUP(B51,Fleet_Vehicle_Data!$A:$B,2,FALSE)</f>
        <v>Tata</v>
      </c>
      <c r="D51" s="8" t="s">
        <v>542</v>
      </c>
      <c r="E51" s="8" t="s">
        <v>368</v>
      </c>
      <c r="F51" s="8">
        <v>32129</v>
      </c>
      <c r="G51" s="8">
        <v>0</v>
      </c>
      <c r="H51" s="8" t="s">
        <v>525</v>
      </c>
      <c r="I51" s="8" t="s">
        <v>531</v>
      </c>
      <c r="J51" s="8" t="s">
        <v>652</v>
      </c>
      <c r="K51" s="8" t="s">
        <v>578</v>
      </c>
    </row>
    <row r="52" spans="1:11" x14ac:dyDescent="0.3">
      <c r="A52" s="5" t="s">
        <v>653</v>
      </c>
      <c r="B52" s="5" t="s">
        <v>116</v>
      </c>
      <c r="C52" s="5" t="str">
        <f>VLOOKUP(B52,Fleet_Vehicle_Data!$A:$B,2,FALSE)</f>
        <v>Mahindra</v>
      </c>
      <c r="D52" s="5" t="s">
        <v>542</v>
      </c>
      <c r="E52" s="5" t="s">
        <v>654</v>
      </c>
      <c r="F52" s="5">
        <v>24956</v>
      </c>
      <c r="G52" s="5">
        <v>11</v>
      </c>
      <c r="H52" s="5" t="s">
        <v>582</v>
      </c>
      <c r="I52" s="5" t="s">
        <v>526</v>
      </c>
      <c r="J52" s="5" t="s">
        <v>655</v>
      </c>
      <c r="K52" s="5" t="s">
        <v>528</v>
      </c>
    </row>
    <row r="53" spans="1:11" x14ac:dyDescent="0.3">
      <c r="A53" s="8" t="s">
        <v>656</v>
      </c>
      <c r="B53" s="8" t="s">
        <v>122</v>
      </c>
      <c r="C53" s="8" t="str">
        <f>VLOOKUP(B53,Fleet_Vehicle_Data!$A:$B,2,FALSE)</f>
        <v>Kia</v>
      </c>
      <c r="D53" s="8" t="s">
        <v>560</v>
      </c>
      <c r="E53" s="8" t="s">
        <v>134</v>
      </c>
      <c r="F53" s="8">
        <v>3314</v>
      </c>
      <c r="G53" s="8">
        <v>0</v>
      </c>
      <c r="H53" s="8" t="s">
        <v>552</v>
      </c>
      <c r="I53" s="8" t="s">
        <v>548</v>
      </c>
      <c r="J53" s="8" t="s">
        <v>564</v>
      </c>
      <c r="K53" s="8" t="s">
        <v>578</v>
      </c>
    </row>
    <row r="54" spans="1:11" x14ac:dyDescent="0.3">
      <c r="A54" s="5" t="s">
        <v>657</v>
      </c>
      <c r="B54" s="5" t="s">
        <v>170</v>
      </c>
      <c r="C54" s="5" t="str">
        <f>VLOOKUP(B54,Fleet_Vehicle_Data!$A:$B,2,FALSE)</f>
        <v>Toyota</v>
      </c>
      <c r="D54" s="5" t="s">
        <v>562</v>
      </c>
      <c r="E54" s="5" t="s">
        <v>304</v>
      </c>
      <c r="F54" s="5">
        <v>40578</v>
      </c>
      <c r="G54" s="5">
        <v>0</v>
      </c>
      <c r="H54" s="5" t="s">
        <v>552</v>
      </c>
      <c r="I54" s="5" t="s">
        <v>520</v>
      </c>
      <c r="J54" s="5" t="s">
        <v>658</v>
      </c>
      <c r="K54" s="5" t="s">
        <v>528</v>
      </c>
    </row>
    <row r="55" spans="1:11" x14ac:dyDescent="0.3">
      <c r="A55" s="8" t="s">
        <v>659</v>
      </c>
      <c r="B55" s="8" t="s">
        <v>113</v>
      </c>
      <c r="C55" s="8" t="str">
        <f>VLOOKUP(B55,Fleet_Vehicle_Data!$A:$B,2,FALSE)</f>
        <v>Tata</v>
      </c>
      <c r="D55" s="8" t="s">
        <v>580</v>
      </c>
      <c r="E55" s="8" t="s">
        <v>342</v>
      </c>
      <c r="F55" s="8">
        <v>14243</v>
      </c>
      <c r="G55" s="8">
        <v>3</v>
      </c>
      <c r="H55" s="8" t="s">
        <v>519</v>
      </c>
      <c r="I55" s="8" t="s">
        <v>548</v>
      </c>
      <c r="J55" s="8" t="s">
        <v>648</v>
      </c>
      <c r="K55" s="8" t="s">
        <v>550</v>
      </c>
    </row>
    <row r="56" spans="1:11" x14ac:dyDescent="0.3">
      <c r="A56" s="5" t="s">
        <v>660</v>
      </c>
      <c r="B56" s="5" t="s">
        <v>94</v>
      </c>
      <c r="C56" s="5" t="str">
        <f>VLOOKUP(B56,Fleet_Vehicle_Data!$A:$B,2,FALSE)</f>
        <v>Kia</v>
      </c>
      <c r="D56" s="5" t="s">
        <v>542</v>
      </c>
      <c r="E56" s="5" t="s">
        <v>382</v>
      </c>
      <c r="F56" s="5">
        <v>41384</v>
      </c>
      <c r="G56" s="5">
        <v>9</v>
      </c>
      <c r="H56" s="5" t="s">
        <v>552</v>
      </c>
      <c r="I56" s="5" t="s">
        <v>553</v>
      </c>
      <c r="J56" s="5" t="s">
        <v>661</v>
      </c>
      <c r="K56" s="5" t="s">
        <v>522</v>
      </c>
    </row>
    <row r="57" spans="1:11" x14ac:dyDescent="0.3">
      <c r="A57" s="8" t="s">
        <v>662</v>
      </c>
      <c r="B57" s="8" t="s">
        <v>107</v>
      </c>
      <c r="C57" s="8" t="str">
        <f>VLOOKUP(B57,Fleet_Vehicle_Data!$A:$B,2,FALSE)</f>
        <v>Toyota</v>
      </c>
      <c r="D57" s="8" t="s">
        <v>517</v>
      </c>
      <c r="E57" s="8" t="s">
        <v>382</v>
      </c>
      <c r="F57" s="8">
        <v>44009</v>
      </c>
      <c r="G57" s="8">
        <v>0</v>
      </c>
      <c r="H57" s="8" t="s">
        <v>552</v>
      </c>
      <c r="I57" s="8" t="s">
        <v>526</v>
      </c>
      <c r="J57" s="8" t="s">
        <v>663</v>
      </c>
      <c r="K57" s="8" t="s">
        <v>528</v>
      </c>
    </row>
    <row r="58" spans="1:11" x14ac:dyDescent="0.3">
      <c r="A58" s="5" t="s">
        <v>664</v>
      </c>
      <c r="B58" s="5" t="s">
        <v>164</v>
      </c>
      <c r="C58" s="5" t="str">
        <f>VLOOKUP(B58,Fleet_Vehicle_Data!$A:$B,2,FALSE)</f>
        <v>Maruti</v>
      </c>
      <c r="D58" s="5" t="s">
        <v>542</v>
      </c>
      <c r="E58" s="5" t="s">
        <v>187</v>
      </c>
      <c r="F58" s="5">
        <v>25871</v>
      </c>
      <c r="G58" s="5">
        <v>12</v>
      </c>
      <c r="H58" s="5" t="s">
        <v>519</v>
      </c>
      <c r="I58" s="5" t="s">
        <v>531</v>
      </c>
      <c r="J58" s="5" t="s">
        <v>665</v>
      </c>
      <c r="K58" s="5" t="s">
        <v>578</v>
      </c>
    </row>
    <row r="59" spans="1:11" x14ac:dyDescent="0.3">
      <c r="A59" s="8" t="s">
        <v>666</v>
      </c>
      <c r="B59" s="8" t="s">
        <v>54</v>
      </c>
      <c r="C59" s="8" t="str">
        <f>VLOOKUP(B59,Fleet_Vehicle_Data!$A:$B,2,FALSE)</f>
        <v>Toyota</v>
      </c>
      <c r="D59" s="8" t="s">
        <v>542</v>
      </c>
      <c r="E59" s="8" t="s">
        <v>667</v>
      </c>
      <c r="F59" s="8">
        <v>19702</v>
      </c>
      <c r="G59" s="8">
        <v>12</v>
      </c>
      <c r="H59" s="8" t="s">
        <v>519</v>
      </c>
      <c r="I59" s="8" t="s">
        <v>563</v>
      </c>
      <c r="J59" s="8" t="s">
        <v>668</v>
      </c>
      <c r="K59" s="8" t="s">
        <v>522</v>
      </c>
    </row>
    <row r="60" spans="1:11" x14ac:dyDescent="0.3">
      <c r="A60" s="5" t="s">
        <v>669</v>
      </c>
      <c r="B60" s="5" t="s">
        <v>54</v>
      </c>
      <c r="C60" s="5" t="str">
        <f>VLOOKUP(B60,Fleet_Vehicle_Data!$A:$B,2,FALSE)</f>
        <v>Toyota</v>
      </c>
      <c r="D60" s="5" t="s">
        <v>562</v>
      </c>
      <c r="E60" s="5" t="s">
        <v>670</v>
      </c>
      <c r="F60" s="5">
        <v>23140</v>
      </c>
      <c r="G60" s="5">
        <v>9</v>
      </c>
      <c r="H60" s="5" t="s">
        <v>536</v>
      </c>
      <c r="I60" s="5" t="s">
        <v>531</v>
      </c>
      <c r="J60" s="5" t="s">
        <v>671</v>
      </c>
      <c r="K60" s="5" t="s">
        <v>550</v>
      </c>
    </row>
    <row r="61" spans="1:11" x14ac:dyDescent="0.3">
      <c r="A61" s="8" t="s">
        <v>672</v>
      </c>
      <c r="B61" s="8" t="s">
        <v>144</v>
      </c>
      <c r="C61" s="8" t="str">
        <f>VLOOKUP(B61,Fleet_Vehicle_Data!$A:$B,2,FALSE)</f>
        <v>Maruti</v>
      </c>
      <c r="D61" s="8" t="s">
        <v>562</v>
      </c>
      <c r="E61" s="8" t="s">
        <v>387</v>
      </c>
      <c r="F61" s="8">
        <v>18338</v>
      </c>
      <c r="G61" s="8">
        <v>0</v>
      </c>
      <c r="H61" s="8" t="s">
        <v>552</v>
      </c>
      <c r="I61" s="8" t="s">
        <v>573</v>
      </c>
      <c r="J61" s="8" t="s">
        <v>673</v>
      </c>
      <c r="K61" s="8" t="s">
        <v>578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7"/>
  <sheetViews>
    <sheetView workbookViewId="0">
      <selection sqref="A1:K97"/>
    </sheetView>
  </sheetViews>
  <sheetFormatPr defaultRowHeight="14.4" x14ac:dyDescent="0.3"/>
  <cols>
    <col min="1" max="1" width="12" customWidth="1"/>
    <col min="2" max="2" width="13" customWidth="1"/>
    <col min="3" max="3" width="16" customWidth="1"/>
    <col min="4" max="4" width="15" customWidth="1"/>
    <col min="5" max="6" width="19" customWidth="1"/>
    <col min="7" max="7" width="15" customWidth="1"/>
    <col min="8" max="8" width="17" customWidth="1"/>
    <col min="9" max="9" width="24" customWidth="1"/>
    <col min="10" max="10" width="19" customWidth="1"/>
    <col min="11" max="11" width="14" customWidth="1"/>
  </cols>
  <sheetData>
    <row r="1" spans="1:11" ht="15.6" x14ac:dyDescent="0.3">
      <c r="A1" s="4" t="s">
        <v>674</v>
      </c>
      <c r="B1" s="4" t="s">
        <v>47</v>
      </c>
      <c r="C1" s="4" t="s">
        <v>48</v>
      </c>
      <c r="D1" s="4" t="s">
        <v>394</v>
      </c>
      <c r="E1" s="4" t="s">
        <v>675</v>
      </c>
      <c r="F1" s="4" t="s">
        <v>676</v>
      </c>
      <c r="G1" s="4" t="s">
        <v>677</v>
      </c>
      <c r="H1" s="4" t="s">
        <v>678</v>
      </c>
      <c r="I1" s="4" t="s">
        <v>679</v>
      </c>
      <c r="J1" s="4" t="s">
        <v>680</v>
      </c>
      <c r="K1" s="4" t="s">
        <v>681</v>
      </c>
    </row>
    <row r="2" spans="1:11" x14ac:dyDescent="0.3">
      <c r="A2" s="5" t="s">
        <v>682</v>
      </c>
      <c r="B2" s="5" t="s">
        <v>60</v>
      </c>
      <c r="C2" s="5" t="s">
        <v>61</v>
      </c>
      <c r="D2" s="5">
        <v>96</v>
      </c>
      <c r="E2" s="5">
        <v>88</v>
      </c>
      <c r="F2" s="5">
        <v>8</v>
      </c>
      <c r="G2" s="5">
        <v>30797</v>
      </c>
      <c r="H2" s="5">
        <v>8035</v>
      </c>
      <c r="I2" s="5">
        <v>4131</v>
      </c>
      <c r="J2" s="5">
        <v>9611</v>
      </c>
      <c r="K2" s="5">
        <v>8822</v>
      </c>
    </row>
    <row r="3" spans="1:11" x14ac:dyDescent="0.3">
      <c r="A3" s="8" t="s">
        <v>682</v>
      </c>
      <c r="B3" s="8" t="s">
        <v>60</v>
      </c>
      <c r="C3" s="8" t="s">
        <v>75</v>
      </c>
      <c r="D3" s="8">
        <v>230</v>
      </c>
      <c r="E3" s="8">
        <v>196</v>
      </c>
      <c r="F3" s="8">
        <v>34</v>
      </c>
      <c r="G3" s="8">
        <v>180685</v>
      </c>
      <c r="H3" s="8">
        <v>53274</v>
      </c>
      <c r="I3" s="8">
        <v>21007</v>
      </c>
      <c r="J3" s="8">
        <v>50788</v>
      </c>
      <c r="K3" s="8">
        <v>55504</v>
      </c>
    </row>
    <row r="4" spans="1:11" x14ac:dyDescent="0.3">
      <c r="A4" s="5" t="s">
        <v>682</v>
      </c>
      <c r="B4" s="5" t="s">
        <v>60</v>
      </c>
      <c r="C4" s="5" t="s">
        <v>82</v>
      </c>
      <c r="D4" s="5">
        <v>257</v>
      </c>
      <c r="E4" s="5">
        <v>232</v>
      </c>
      <c r="F4" s="5">
        <v>25</v>
      </c>
      <c r="G4" s="5">
        <v>213230</v>
      </c>
      <c r="H4" s="5">
        <v>45702</v>
      </c>
      <c r="I4" s="5">
        <v>22052</v>
      </c>
      <c r="J4" s="5">
        <v>62827</v>
      </c>
      <c r="K4" s="5">
        <v>82782</v>
      </c>
    </row>
    <row r="5" spans="1:11" x14ac:dyDescent="0.3">
      <c r="A5" s="8" t="s">
        <v>682</v>
      </c>
      <c r="B5" s="8" t="s">
        <v>60</v>
      </c>
      <c r="C5" s="8" t="s">
        <v>105</v>
      </c>
      <c r="D5" s="8">
        <v>71</v>
      </c>
      <c r="E5" s="8">
        <v>65</v>
      </c>
      <c r="F5" s="8">
        <v>6</v>
      </c>
      <c r="G5" s="8">
        <v>46342</v>
      </c>
      <c r="H5" s="8">
        <v>7052</v>
      </c>
      <c r="I5" s="8">
        <v>4470</v>
      </c>
      <c r="J5" s="8">
        <v>10824</v>
      </c>
      <c r="K5" s="8">
        <v>23875</v>
      </c>
    </row>
    <row r="6" spans="1:11" x14ac:dyDescent="0.3">
      <c r="A6" s="5" t="s">
        <v>682</v>
      </c>
      <c r="B6" s="5" t="s">
        <v>68</v>
      </c>
      <c r="C6" s="5" t="s">
        <v>61</v>
      </c>
      <c r="D6" s="5">
        <v>95</v>
      </c>
      <c r="E6" s="5">
        <v>82</v>
      </c>
      <c r="F6" s="5">
        <v>13</v>
      </c>
      <c r="G6" s="5">
        <v>69232</v>
      </c>
      <c r="H6" s="5">
        <v>14832</v>
      </c>
      <c r="I6" s="5">
        <v>5031</v>
      </c>
      <c r="J6" s="5">
        <v>15978</v>
      </c>
      <c r="K6" s="5">
        <v>33061</v>
      </c>
    </row>
    <row r="7" spans="1:11" x14ac:dyDescent="0.3">
      <c r="A7" s="8" t="s">
        <v>682</v>
      </c>
      <c r="B7" s="8" t="s">
        <v>68</v>
      </c>
      <c r="C7" s="8" t="s">
        <v>75</v>
      </c>
      <c r="D7" s="8">
        <v>219</v>
      </c>
      <c r="E7" s="8">
        <v>188</v>
      </c>
      <c r="F7" s="8">
        <v>31</v>
      </c>
      <c r="G7" s="8">
        <v>39163</v>
      </c>
      <c r="H7" s="8">
        <v>10726</v>
      </c>
      <c r="I7" s="8">
        <v>3564</v>
      </c>
      <c r="J7" s="8">
        <v>9740</v>
      </c>
      <c r="K7" s="8">
        <v>15252</v>
      </c>
    </row>
    <row r="8" spans="1:11" x14ac:dyDescent="0.3">
      <c r="A8" s="5" t="s">
        <v>682</v>
      </c>
      <c r="B8" s="5" t="s">
        <v>68</v>
      </c>
      <c r="C8" s="5" t="s">
        <v>82</v>
      </c>
      <c r="D8" s="5">
        <v>173</v>
      </c>
      <c r="E8" s="5">
        <v>154</v>
      </c>
      <c r="F8" s="5">
        <v>19</v>
      </c>
      <c r="G8" s="5">
        <v>57777</v>
      </c>
      <c r="H8" s="5">
        <v>10089</v>
      </c>
      <c r="I8" s="5">
        <v>4675</v>
      </c>
      <c r="J8" s="5">
        <v>12960</v>
      </c>
      <c r="K8" s="5">
        <v>29762</v>
      </c>
    </row>
    <row r="9" spans="1:11" x14ac:dyDescent="0.3">
      <c r="A9" s="8" t="s">
        <v>682</v>
      </c>
      <c r="B9" s="8" t="s">
        <v>68</v>
      </c>
      <c r="C9" s="8" t="s">
        <v>105</v>
      </c>
      <c r="D9" s="8">
        <v>375</v>
      </c>
      <c r="E9" s="8">
        <v>362</v>
      </c>
      <c r="F9" s="8">
        <v>13</v>
      </c>
      <c r="G9" s="8">
        <v>371876</v>
      </c>
      <c r="H9" s="8">
        <v>95857</v>
      </c>
      <c r="I9" s="8">
        <v>49299</v>
      </c>
      <c r="J9" s="8">
        <v>107055</v>
      </c>
      <c r="K9" s="8">
        <v>119906</v>
      </c>
    </row>
    <row r="10" spans="1:11" x14ac:dyDescent="0.3">
      <c r="A10" s="5" t="s">
        <v>682</v>
      </c>
      <c r="B10" s="5" t="s">
        <v>74</v>
      </c>
      <c r="C10" s="5" t="s">
        <v>61</v>
      </c>
      <c r="D10" s="5">
        <v>254</v>
      </c>
      <c r="E10" s="5">
        <v>244</v>
      </c>
      <c r="F10" s="5">
        <v>10</v>
      </c>
      <c r="G10" s="5">
        <v>110851</v>
      </c>
      <c r="H10" s="5">
        <v>30196</v>
      </c>
      <c r="I10" s="5">
        <v>13289</v>
      </c>
      <c r="J10" s="5">
        <v>27129</v>
      </c>
      <c r="K10" s="5">
        <v>40007</v>
      </c>
    </row>
    <row r="11" spans="1:11" x14ac:dyDescent="0.3">
      <c r="A11" s="8" t="s">
        <v>682</v>
      </c>
      <c r="B11" s="8" t="s">
        <v>74</v>
      </c>
      <c r="C11" s="8" t="s">
        <v>75</v>
      </c>
      <c r="D11" s="8">
        <v>92</v>
      </c>
      <c r="E11" s="8">
        <v>81</v>
      </c>
      <c r="F11" s="8">
        <v>11</v>
      </c>
      <c r="G11" s="8">
        <v>80220</v>
      </c>
      <c r="H11" s="8">
        <v>18011</v>
      </c>
      <c r="I11" s="8">
        <v>4561</v>
      </c>
      <c r="J11" s="8">
        <v>19199</v>
      </c>
      <c r="K11" s="8">
        <v>38304</v>
      </c>
    </row>
    <row r="12" spans="1:11" x14ac:dyDescent="0.3">
      <c r="A12" s="5" t="s">
        <v>682</v>
      </c>
      <c r="B12" s="5" t="s">
        <v>74</v>
      </c>
      <c r="C12" s="5" t="s">
        <v>82</v>
      </c>
      <c r="D12" s="5">
        <v>193</v>
      </c>
      <c r="E12" s="5">
        <v>181</v>
      </c>
      <c r="F12" s="5">
        <v>12</v>
      </c>
      <c r="G12" s="5">
        <v>107202</v>
      </c>
      <c r="H12" s="5">
        <v>22884</v>
      </c>
      <c r="I12" s="5">
        <v>11687</v>
      </c>
      <c r="J12" s="5">
        <v>31661</v>
      </c>
      <c r="K12" s="5">
        <v>40527</v>
      </c>
    </row>
    <row r="13" spans="1:11" x14ac:dyDescent="0.3">
      <c r="A13" s="8" t="s">
        <v>682</v>
      </c>
      <c r="B13" s="8" t="s">
        <v>74</v>
      </c>
      <c r="C13" s="8" t="s">
        <v>105</v>
      </c>
      <c r="D13" s="8">
        <v>171</v>
      </c>
      <c r="E13" s="8">
        <v>146</v>
      </c>
      <c r="F13" s="8">
        <v>25</v>
      </c>
      <c r="G13" s="8">
        <v>135331</v>
      </c>
      <c r="H13" s="8">
        <v>27512</v>
      </c>
      <c r="I13" s="8">
        <v>12431</v>
      </c>
      <c r="J13" s="8">
        <v>41376</v>
      </c>
      <c r="K13" s="8">
        <v>54074</v>
      </c>
    </row>
    <row r="14" spans="1:11" x14ac:dyDescent="0.3">
      <c r="A14" s="5" t="s">
        <v>682</v>
      </c>
      <c r="B14" s="5" t="s">
        <v>81</v>
      </c>
      <c r="C14" s="5" t="s">
        <v>61</v>
      </c>
      <c r="D14" s="5">
        <v>377</v>
      </c>
      <c r="E14" s="5">
        <v>372</v>
      </c>
      <c r="F14" s="5">
        <v>5</v>
      </c>
      <c r="G14" s="5">
        <v>87624</v>
      </c>
      <c r="H14" s="5">
        <v>22509</v>
      </c>
      <c r="I14" s="5">
        <v>6134</v>
      </c>
      <c r="J14" s="5">
        <v>21829</v>
      </c>
      <c r="K14" s="5">
        <v>37183</v>
      </c>
    </row>
    <row r="15" spans="1:11" x14ac:dyDescent="0.3">
      <c r="A15" s="8" t="s">
        <v>682</v>
      </c>
      <c r="B15" s="8" t="s">
        <v>81</v>
      </c>
      <c r="C15" s="8" t="s">
        <v>75</v>
      </c>
      <c r="D15" s="8">
        <v>320</v>
      </c>
      <c r="E15" s="8">
        <v>290</v>
      </c>
      <c r="F15" s="8">
        <v>30</v>
      </c>
      <c r="G15" s="8">
        <v>135634</v>
      </c>
      <c r="H15" s="8">
        <v>30316</v>
      </c>
      <c r="I15" s="8">
        <v>15718</v>
      </c>
      <c r="J15" s="8">
        <v>44604</v>
      </c>
      <c r="K15" s="8">
        <v>44680</v>
      </c>
    </row>
    <row r="16" spans="1:11" x14ac:dyDescent="0.3">
      <c r="A16" s="5" t="s">
        <v>682</v>
      </c>
      <c r="B16" s="5" t="s">
        <v>81</v>
      </c>
      <c r="C16" s="5" t="s">
        <v>82</v>
      </c>
      <c r="D16" s="5">
        <v>156</v>
      </c>
      <c r="E16" s="5">
        <v>140</v>
      </c>
      <c r="F16" s="5">
        <v>16</v>
      </c>
      <c r="G16" s="5">
        <v>90362</v>
      </c>
      <c r="H16" s="5">
        <v>22325</v>
      </c>
      <c r="I16" s="5">
        <v>4611</v>
      </c>
      <c r="J16" s="5">
        <v>31427</v>
      </c>
      <c r="K16" s="5">
        <v>32057</v>
      </c>
    </row>
    <row r="17" spans="1:11" x14ac:dyDescent="0.3">
      <c r="A17" s="8" t="s">
        <v>682</v>
      </c>
      <c r="B17" s="8" t="s">
        <v>81</v>
      </c>
      <c r="C17" s="8" t="s">
        <v>105</v>
      </c>
      <c r="D17" s="8">
        <v>354</v>
      </c>
      <c r="E17" s="8">
        <v>317</v>
      </c>
      <c r="F17" s="8">
        <v>37</v>
      </c>
      <c r="G17" s="8">
        <v>144039</v>
      </c>
      <c r="H17" s="8">
        <v>31979</v>
      </c>
      <c r="I17" s="8">
        <v>16456</v>
      </c>
      <c r="J17" s="8">
        <v>37719</v>
      </c>
      <c r="K17" s="8">
        <v>57507</v>
      </c>
    </row>
    <row r="18" spans="1:11" x14ac:dyDescent="0.3">
      <c r="A18" s="5" t="s">
        <v>682</v>
      </c>
      <c r="B18" s="5" t="s">
        <v>88</v>
      </c>
      <c r="C18" s="5" t="s">
        <v>61</v>
      </c>
      <c r="D18" s="5">
        <v>150</v>
      </c>
      <c r="E18" s="5">
        <v>136</v>
      </c>
      <c r="F18" s="5">
        <v>14</v>
      </c>
      <c r="G18" s="5">
        <v>146028</v>
      </c>
      <c r="H18" s="5">
        <v>26409</v>
      </c>
      <c r="I18" s="5">
        <v>14811</v>
      </c>
      <c r="J18" s="5">
        <v>44781</v>
      </c>
      <c r="K18" s="5">
        <v>59748</v>
      </c>
    </row>
    <row r="19" spans="1:11" x14ac:dyDescent="0.3">
      <c r="A19" s="8" t="s">
        <v>682</v>
      </c>
      <c r="B19" s="8" t="s">
        <v>88</v>
      </c>
      <c r="C19" s="8" t="s">
        <v>75</v>
      </c>
      <c r="D19" s="8">
        <v>463</v>
      </c>
      <c r="E19" s="8">
        <v>398</v>
      </c>
      <c r="F19" s="8">
        <v>65</v>
      </c>
      <c r="G19" s="8">
        <v>323687</v>
      </c>
      <c r="H19" s="8">
        <v>85934</v>
      </c>
      <c r="I19" s="8">
        <v>41560</v>
      </c>
      <c r="J19" s="8">
        <v>66005</v>
      </c>
      <c r="K19" s="8">
        <v>130126</v>
      </c>
    </row>
    <row r="20" spans="1:11" x14ac:dyDescent="0.3">
      <c r="A20" s="5" t="s">
        <v>682</v>
      </c>
      <c r="B20" s="5" t="s">
        <v>88</v>
      </c>
      <c r="C20" s="5" t="s">
        <v>82</v>
      </c>
      <c r="D20" s="5">
        <v>97</v>
      </c>
      <c r="E20" s="5">
        <v>86</v>
      </c>
      <c r="F20" s="5">
        <v>11</v>
      </c>
      <c r="G20" s="5">
        <v>47696</v>
      </c>
      <c r="H20" s="5">
        <v>11083</v>
      </c>
      <c r="I20" s="5">
        <v>7123</v>
      </c>
      <c r="J20" s="5">
        <v>15445</v>
      </c>
      <c r="K20" s="5">
        <v>13621</v>
      </c>
    </row>
    <row r="21" spans="1:11" x14ac:dyDescent="0.3">
      <c r="A21" s="8" t="s">
        <v>682</v>
      </c>
      <c r="B21" s="8" t="s">
        <v>88</v>
      </c>
      <c r="C21" s="8" t="s">
        <v>105</v>
      </c>
      <c r="D21" s="8">
        <v>479</v>
      </c>
      <c r="E21" s="8">
        <v>457</v>
      </c>
      <c r="F21" s="8">
        <v>22</v>
      </c>
      <c r="G21" s="8">
        <v>289992</v>
      </c>
      <c r="H21" s="8">
        <v>44590</v>
      </c>
      <c r="I21" s="8">
        <v>36383</v>
      </c>
      <c r="J21" s="8">
        <v>89578</v>
      </c>
      <c r="K21" s="8">
        <v>119596</v>
      </c>
    </row>
    <row r="22" spans="1:11" x14ac:dyDescent="0.3">
      <c r="A22" s="5" t="s">
        <v>682</v>
      </c>
      <c r="B22" s="5" t="s">
        <v>92</v>
      </c>
      <c r="C22" s="5" t="s">
        <v>61</v>
      </c>
      <c r="D22" s="5">
        <v>469</v>
      </c>
      <c r="E22" s="5">
        <v>430</v>
      </c>
      <c r="F22" s="5">
        <v>39</v>
      </c>
      <c r="G22" s="5">
        <v>405150</v>
      </c>
      <c r="H22" s="5">
        <v>103458</v>
      </c>
      <c r="I22" s="5">
        <v>22235</v>
      </c>
      <c r="J22" s="5">
        <v>120259</v>
      </c>
      <c r="K22" s="5">
        <v>159335</v>
      </c>
    </row>
    <row r="23" spans="1:11" x14ac:dyDescent="0.3">
      <c r="A23" s="8" t="s">
        <v>682</v>
      </c>
      <c r="B23" s="8" t="s">
        <v>92</v>
      </c>
      <c r="C23" s="8" t="s">
        <v>75</v>
      </c>
      <c r="D23" s="8">
        <v>85</v>
      </c>
      <c r="E23" s="8">
        <v>74</v>
      </c>
      <c r="F23" s="8">
        <v>11</v>
      </c>
      <c r="G23" s="8">
        <v>54785</v>
      </c>
      <c r="H23" s="8">
        <v>10207</v>
      </c>
      <c r="I23" s="8">
        <v>2858</v>
      </c>
      <c r="J23" s="8">
        <v>14623</v>
      </c>
      <c r="K23" s="8">
        <v>26634</v>
      </c>
    </row>
    <row r="24" spans="1:11" x14ac:dyDescent="0.3">
      <c r="A24" s="5" t="s">
        <v>682</v>
      </c>
      <c r="B24" s="5" t="s">
        <v>92</v>
      </c>
      <c r="C24" s="5" t="s">
        <v>82</v>
      </c>
      <c r="D24" s="5">
        <v>269</v>
      </c>
      <c r="E24" s="5">
        <v>264</v>
      </c>
      <c r="F24" s="5">
        <v>5</v>
      </c>
      <c r="G24" s="5">
        <v>269136</v>
      </c>
      <c r="H24" s="5">
        <v>60657</v>
      </c>
      <c r="I24" s="5">
        <v>34584</v>
      </c>
      <c r="J24" s="5">
        <v>62889</v>
      </c>
      <c r="K24" s="5">
        <v>110655</v>
      </c>
    </row>
    <row r="25" spans="1:11" x14ac:dyDescent="0.3">
      <c r="A25" s="8" t="s">
        <v>682</v>
      </c>
      <c r="B25" s="8" t="s">
        <v>92</v>
      </c>
      <c r="C25" s="8" t="s">
        <v>105</v>
      </c>
      <c r="D25" s="8">
        <v>485</v>
      </c>
      <c r="E25" s="8">
        <v>444</v>
      </c>
      <c r="F25" s="8">
        <v>41</v>
      </c>
      <c r="G25" s="8">
        <v>328275</v>
      </c>
      <c r="H25" s="8">
        <v>82380</v>
      </c>
      <c r="I25" s="8">
        <v>32854</v>
      </c>
      <c r="J25" s="8">
        <v>78822</v>
      </c>
      <c r="K25" s="8">
        <v>134410</v>
      </c>
    </row>
    <row r="26" spans="1:11" x14ac:dyDescent="0.3">
      <c r="A26" s="5" t="s">
        <v>683</v>
      </c>
      <c r="B26" s="5" t="s">
        <v>60</v>
      </c>
      <c r="C26" s="5" t="s">
        <v>61</v>
      </c>
      <c r="D26" s="5">
        <v>253</v>
      </c>
      <c r="E26" s="5">
        <v>218</v>
      </c>
      <c r="F26" s="5">
        <v>35</v>
      </c>
      <c r="G26" s="5">
        <v>163741</v>
      </c>
      <c r="H26" s="5">
        <v>32380</v>
      </c>
      <c r="I26" s="5">
        <v>10177</v>
      </c>
      <c r="J26" s="5">
        <v>57020</v>
      </c>
      <c r="K26" s="5">
        <v>63770</v>
      </c>
    </row>
    <row r="27" spans="1:11" x14ac:dyDescent="0.3">
      <c r="A27" s="8" t="s">
        <v>683</v>
      </c>
      <c r="B27" s="8" t="s">
        <v>60</v>
      </c>
      <c r="C27" s="8" t="s">
        <v>75</v>
      </c>
      <c r="D27" s="8">
        <v>355</v>
      </c>
      <c r="E27" s="8">
        <v>348</v>
      </c>
      <c r="F27" s="8">
        <v>7</v>
      </c>
      <c r="G27" s="8">
        <v>290272</v>
      </c>
      <c r="H27" s="8">
        <v>85229</v>
      </c>
      <c r="I27" s="8">
        <v>23276</v>
      </c>
      <c r="J27" s="8">
        <v>68239</v>
      </c>
      <c r="K27" s="8">
        <v>113201</v>
      </c>
    </row>
    <row r="28" spans="1:11" x14ac:dyDescent="0.3">
      <c r="A28" s="5" t="s">
        <v>683</v>
      </c>
      <c r="B28" s="5" t="s">
        <v>60</v>
      </c>
      <c r="C28" s="5" t="s">
        <v>82</v>
      </c>
      <c r="D28" s="5">
        <v>383</v>
      </c>
      <c r="E28" s="5">
        <v>373</v>
      </c>
      <c r="F28" s="5">
        <v>10</v>
      </c>
      <c r="G28" s="5">
        <v>254094</v>
      </c>
      <c r="H28" s="5">
        <v>65178</v>
      </c>
      <c r="I28" s="5">
        <v>24051</v>
      </c>
      <c r="J28" s="5">
        <v>51873</v>
      </c>
      <c r="K28" s="5">
        <v>113482</v>
      </c>
    </row>
    <row r="29" spans="1:11" x14ac:dyDescent="0.3">
      <c r="A29" s="8" t="s">
        <v>683</v>
      </c>
      <c r="B29" s="8" t="s">
        <v>60</v>
      </c>
      <c r="C29" s="8" t="s">
        <v>105</v>
      </c>
      <c r="D29" s="8">
        <v>245</v>
      </c>
      <c r="E29" s="8">
        <v>236</v>
      </c>
      <c r="F29" s="8">
        <v>9</v>
      </c>
      <c r="G29" s="8">
        <v>234220</v>
      </c>
      <c r="H29" s="8">
        <v>40145</v>
      </c>
      <c r="I29" s="8">
        <v>23127</v>
      </c>
      <c r="J29" s="8">
        <v>48040</v>
      </c>
      <c r="K29" s="8">
        <v>123210</v>
      </c>
    </row>
    <row r="30" spans="1:11" x14ac:dyDescent="0.3">
      <c r="A30" s="5" t="s">
        <v>683</v>
      </c>
      <c r="B30" s="5" t="s">
        <v>68</v>
      </c>
      <c r="C30" s="5" t="s">
        <v>61</v>
      </c>
      <c r="D30" s="5">
        <v>430</v>
      </c>
      <c r="E30" s="5">
        <v>418</v>
      </c>
      <c r="F30" s="5">
        <v>12</v>
      </c>
      <c r="G30" s="5">
        <v>113759</v>
      </c>
      <c r="H30" s="5">
        <v>18184</v>
      </c>
      <c r="I30" s="5">
        <v>12590</v>
      </c>
      <c r="J30" s="5">
        <v>32731</v>
      </c>
      <c r="K30" s="5">
        <v>50327</v>
      </c>
    </row>
    <row r="31" spans="1:11" x14ac:dyDescent="0.3">
      <c r="A31" s="8" t="s">
        <v>683</v>
      </c>
      <c r="B31" s="8" t="s">
        <v>68</v>
      </c>
      <c r="C31" s="8" t="s">
        <v>75</v>
      </c>
      <c r="D31" s="8">
        <v>292</v>
      </c>
      <c r="E31" s="8">
        <v>268</v>
      </c>
      <c r="F31" s="8">
        <v>24</v>
      </c>
      <c r="G31" s="8">
        <v>316405</v>
      </c>
      <c r="H31" s="8">
        <v>82431</v>
      </c>
      <c r="I31" s="8">
        <v>22577</v>
      </c>
      <c r="J31" s="8">
        <v>106702</v>
      </c>
      <c r="K31" s="8">
        <v>105131</v>
      </c>
    </row>
    <row r="32" spans="1:11" x14ac:dyDescent="0.3">
      <c r="A32" s="5" t="s">
        <v>683</v>
      </c>
      <c r="B32" s="5" t="s">
        <v>68</v>
      </c>
      <c r="C32" s="5" t="s">
        <v>82</v>
      </c>
      <c r="D32" s="5">
        <v>369</v>
      </c>
      <c r="E32" s="5">
        <v>339</v>
      </c>
      <c r="F32" s="5">
        <v>30</v>
      </c>
      <c r="G32" s="5">
        <v>314741</v>
      </c>
      <c r="H32" s="5">
        <v>87684</v>
      </c>
      <c r="I32" s="5">
        <v>20173</v>
      </c>
      <c r="J32" s="5">
        <v>78842</v>
      </c>
      <c r="K32" s="5">
        <v>128276</v>
      </c>
    </row>
    <row r="33" spans="1:11" x14ac:dyDescent="0.3">
      <c r="A33" s="8" t="s">
        <v>683</v>
      </c>
      <c r="B33" s="8" t="s">
        <v>68</v>
      </c>
      <c r="C33" s="8" t="s">
        <v>105</v>
      </c>
      <c r="D33" s="8">
        <v>294</v>
      </c>
      <c r="E33" s="8">
        <v>288</v>
      </c>
      <c r="F33" s="8">
        <v>6</v>
      </c>
      <c r="G33" s="8">
        <v>279170</v>
      </c>
      <c r="H33" s="8">
        <v>82688</v>
      </c>
      <c r="I33" s="8">
        <v>34179</v>
      </c>
      <c r="J33" s="8">
        <v>80538</v>
      </c>
      <c r="K33" s="8">
        <v>81988</v>
      </c>
    </row>
    <row r="34" spans="1:11" x14ac:dyDescent="0.3">
      <c r="A34" s="5" t="s">
        <v>683</v>
      </c>
      <c r="B34" s="5" t="s">
        <v>74</v>
      </c>
      <c r="C34" s="5" t="s">
        <v>61</v>
      </c>
      <c r="D34" s="5">
        <v>394</v>
      </c>
      <c r="E34" s="5">
        <v>383</v>
      </c>
      <c r="F34" s="5">
        <v>11</v>
      </c>
      <c r="G34" s="5">
        <v>316304</v>
      </c>
      <c r="H34" s="5">
        <v>74305</v>
      </c>
      <c r="I34" s="5">
        <v>35202</v>
      </c>
      <c r="J34" s="5">
        <v>78689</v>
      </c>
      <c r="K34" s="5">
        <v>128545</v>
      </c>
    </row>
    <row r="35" spans="1:11" x14ac:dyDescent="0.3">
      <c r="A35" s="8" t="s">
        <v>683</v>
      </c>
      <c r="B35" s="8" t="s">
        <v>74</v>
      </c>
      <c r="C35" s="8" t="s">
        <v>75</v>
      </c>
      <c r="D35" s="8">
        <v>203</v>
      </c>
      <c r="E35" s="8">
        <v>190</v>
      </c>
      <c r="F35" s="8">
        <v>13</v>
      </c>
      <c r="G35" s="8">
        <v>149562</v>
      </c>
      <c r="H35" s="8">
        <v>28359</v>
      </c>
      <c r="I35" s="8">
        <v>14631</v>
      </c>
      <c r="J35" s="8">
        <v>32155</v>
      </c>
      <c r="K35" s="8">
        <v>74268</v>
      </c>
    </row>
    <row r="36" spans="1:11" x14ac:dyDescent="0.3">
      <c r="A36" s="5" t="s">
        <v>683</v>
      </c>
      <c r="B36" s="5" t="s">
        <v>74</v>
      </c>
      <c r="C36" s="5" t="s">
        <v>82</v>
      </c>
      <c r="D36" s="5">
        <v>444</v>
      </c>
      <c r="E36" s="5">
        <v>425</v>
      </c>
      <c r="F36" s="5">
        <v>19</v>
      </c>
      <c r="G36" s="5">
        <v>133541</v>
      </c>
      <c r="H36" s="5">
        <v>32365</v>
      </c>
      <c r="I36" s="5">
        <v>8469</v>
      </c>
      <c r="J36" s="5">
        <v>26863</v>
      </c>
      <c r="K36" s="5">
        <v>65726</v>
      </c>
    </row>
    <row r="37" spans="1:11" x14ac:dyDescent="0.3">
      <c r="A37" s="8" t="s">
        <v>683</v>
      </c>
      <c r="B37" s="8" t="s">
        <v>74</v>
      </c>
      <c r="C37" s="8" t="s">
        <v>105</v>
      </c>
      <c r="D37" s="8">
        <v>334</v>
      </c>
      <c r="E37" s="8">
        <v>319</v>
      </c>
      <c r="F37" s="8">
        <v>15</v>
      </c>
      <c r="G37" s="8">
        <v>264758</v>
      </c>
      <c r="H37" s="8">
        <v>43984</v>
      </c>
      <c r="I37" s="8">
        <v>34359</v>
      </c>
      <c r="J37" s="8">
        <v>83123</v>
      </c>
      <c r="K37" s="8">
        <v>103622</v>
      </c>
    </row>
    <row r="38" spans="1:11" x14ac:dyDescent="0.3">
      <c r="A38" s="5" t="s">
        <v>683</v>
      </c>
      <c r="B38" s="5" t="s">
        <v>81</v>
      </c>
      <c r="C38" s="5" t="s">
        <v>61</v>
      </c>
      <c r="D38" s="5">
        <v>449</v>
      </c>
      <c r="E38" s="5">
        <v>394</v>
      </c>
      <c r="F38" s="5">
        <v>55</v>
      </c>
      <c r="G38" s="5">
        <v>114776</v>
      </c>
      <c r="H38" s="5">
        <v>21170</v>
      </c>
      <c r="I38" s="5">
        <v>5941</v>
      </c>
      <c r="J38" s="5">
        <v>34240</v>
      </c>
      <c r="K38" s="5">
        <v>52928</v>
      </c>
    </row>
    <row r="39" spans="1:11" x14ac:dyDescent="0.3">
      <c r="A39" s="8" t="s">
        <v>683</v>
      </c>
      <c r="B39" s="8" t="s">
        <v>81</v>
      </c>
      <c r="C39" s="8" t="s">
        <v>75</v>
      </c>
      <c r="D39" s="8">
        <v>351</v>
      </c>
      <c r="E39" s="8">
        <v>299</v>
      </c>
      <c r="F39" s="8">
        <v>52</v>
      </c>
      <c r="G39" s="8">
        <v>201072</v>
      </c>
      <c r="H39" s="8">
        <v>40065</v>
      </c>
      <c r="I39" s="8">
        <v>14878</v>
      </c>
      <c r="J39" s="8">
        <v>56830</v>
      </c>
      <c r="K39" s="8">
        <v>89166</v>
      </c>
    </row>
    <row r="40" spans="1:11" x14ac:dyDescent="0.3">
      <c r="A40" s="5" t="s">
        <v>683</v>
      </c>
      <c r="B40" s="5" t="s">
        <v>81</v>
      </c>
      <c r="C40" s="5" t="s">
        <v>82</v>
      </c>
      <c r="D40" s="5">
        <v>330</v>
      </c>
      <c r="E40" s="5">
        <v>293</v>
      </c>
      <c r="F40" s="5">
        <v>37</v>
      </c>
      <c r="G40" s="5">
        <v>154823</v>
      </c>
      <c r="H40" s="5">
        <v>24800</v>
      </c>
      <c r="I40" s="5">
        <v>8012</v>
      </c>
      <c r="J40" s="5">
        <v>48281</v>
      </c>
      <c r="K40" s="5">
        <v>73624</v>
      </c>
    </row>
    <row r="41" spans="1:11" x14ac:dyDescent="0.3">
      <c r="A41" s="8" t="s">
        <v>683</v>
      </c>
      <c r="B41" s="8" t="s">
        <v>81</v>
      </c>
      <c r="C41" s="8" t="s">
        <v>105</v>
      </c>
      <c r="D41" s="8">
        <v>366</v>
      </c>
      <c r="E41" s="8">
        <v>346</v>
      </c>
      <c r="F41" s="8">
        <v>20</v>
      </c>
      <c r="G41" s="8">
        <v>71735</v>
      </c>
      <c r="H41" s="8">
        <v>18439</v>
      </c>
      <c r="I41" s="8">
        <v>5735</v>
      </c>
      <c r="J41" s="8">
        <v>17548</v>
      </c>
      <c r="K41" s="8">
        <v>29513</v>
      </c>
    </row>
    <row r="42" spans="1:11" x14ac:dyDescent="0.3">
      <c r="A42" s="5" t="s">
        <v>683</v>
      </c>
      <c r="B42" s="5" t="s">
        <v>88</v>
      </c>
      <c r="C42" s="5" t="s">
        <v>61</v>
      </c>
      <c r="D42" s="5">
        <v>191</v>
      </c>
      <c r="E42" s="5">
        <v>184</v>
      </c>
      <c r="F42" s="5">
        <v>7</v>
      </c>
      <c r="G42" s="5">
        <v>181457</v>
      </c>
      <c r="H42" s="5">
        <v>46549</v>
      </c>
      <c r="I42" s="5">
        <v>20467</v>
      </c>
      <c r="J42" s="5">
        <v>57137</v>
      </c>
      <c r="K42" s="5">
        <v>57091</v>
      </c>
    </row>
    <row r="43" spans="1:11" x14ac:dyDescent="0.3">
      <c r="A43" s="8" t="s">
        <v>683</v>
      </c>
      <c r="B43" s="8" t="s">
        <v>88</v>
      </c>
      <c r="C43" s="8" t="s">
        <v>75</v>
      </c>
      <c r="D43" s="8">
        <v>226</v>
      </c>
      <c r="E43" s="8">
        <v>212</v>
      </c>
      <c r="F43" s="8">
        <v>14</v>
      </c>
      <c r="G43" s="8">
        <v>109703</v>
      </c>
      <c r="H43" s="8">
        <v>17689</v>
      </c>
      <c r="I43" s="8">
        <v>5718</v>
      </c>
      <c r="J43" s="8">
        <v>29327</v>
      </c>
      <c r="K43" s="8">
        <v>56602</v>
      </c>
    </row>
    <row r="44" spans="1:11" x14ac:dyDescent="0.3">
      <c r="A44" s="5" t="s">
        <v>683</v>
      </c>
      <c r="B44" s="5" t="s">
        <v>88</v>
      </c>
      <c r="C44" s="5" t="s">
        <v>82</v>
      </c>
      <c r="D44" s="5">
        <v>207</v>
      </c>
      <c r="E44" s="5">
        <v>176</v>
      </c>
      <c r="F44" s="5">
        <v>31</v>
      </c>
      <c r="G44" s="5">
        <v>165016</v>
      </c>
      <c r="H44" s="5">
        <v>43426</v>
      </c>
      <c r="I44" s="5">
        <v>15600</v>
      </c>
      <c r="J44" s="5">
        <v>38560</v>
      </c>
      <c r="K44" s="5">
        <v>67557</v>
      </c>
    </row>
    <row r="45" spans="1:11" x14ac:dyDescent="0.3">
      <c r="A45" s="8" t="s">
        <v>683</v>
      </c>
      <c r="B45" s="8" t="s">
        <v>88</v>
      </c>
      <c r="C45" s="8" t="s">
        <v>105</v>
      </c>
      <c r="D45" s="8">
        <v>247</v>
      </c>
      <c r="E45" s="8">
        <v>226</v>
      </c>
      <c r="F45" s="8">
        <v>21</v>
      </c>
      <c r="G45" s="8">
        <v>106422</v>
      </c>
      <c r="H45" s="8">
        <v>28207</v>
      </c>
      <c r="I45" s="8">
        <v>9825</v>
      </c>
      <c r="J45" s="8">
        <v>25338</v>
      </c>
      <c r="K45" s="8">
        <v>42668</v>
      </c>
    </row>
    <row r="46" spans="1:11" x14ac:dyDescent="0.3">
      <c r="A46" s="5" t="s">
        <v>683</v>
      </c>
      <c r="B46" s="5" t="s">
        <v>92</v>
      </c>
      <c r="C46" s="5" t="s">
        <v>61</v>
      </c>
      <c r="D46" s="5">
        <v>312</v>
      </c>
      <c r="E46" s="5">
        <v>266</v>
      </c>
      <c r="F46" s="5">
        <v>46</v>
      </c>
      <c r="G46" s="5">
        <v>132602</v>
      </c>
      <c r="H46" s="5">
        <v>38939</v>
      </c>
      <c r="I46" s="5">
        <v>15758</v>
      </c>
      <c r="J46" s="5">
        <v>33064</v>
      </c>
      <c r="K46" s="5">
        <v>44557</v>
      </c>
    </row>
    <row r="47" spans="1:11" x14ac:dyDescent="0.3">
      <c r="A47" s="8" t="s">
        <v>683</v>
      </c>
      <c r="B47" s="8" t="s">
        <v>92</v>
      </c>
      <c r="C47" s="8" t="s">
        <v>75</v>
      </c>
      <c r="D47" s="8">
        <v>229</v>
      </c>
      <c r="E47" s="8">
        <v>197</v>
      </c>
      <c r="F47" s="8">
        <v>32</v>
      </c>
      <c r="G47" s="8">
        <v>196211</v>
      </c>
      <c r="H47" s="8">
        <v>49089</v>
      </c>
      <c r="I47" s="8">
        <v>22702</v>
      </c>
      <c r="J47" s="8">
        <v>47980</v>
      </c>
      <c r="K47" s="8">
        <v>76283</v>
      </c>
    </row>
    <row r="48" spans="1:11" x14ac:dyDescent="0.3">
      <c r="A48" s="5" t="s">
        <v>683</v>
      </c>
      <c r="B48" s="5" t="s">
        <v>92</v>
      </c>
      <c r="C48" s="5" t="s">
        <v>82</v>
      </c>
      <c r="D48" s="5">
        <v>150</v>
      </c>
      <c r="E48" s="5">
        <v>136</v>
      </c>
      <c r="F48" s="5">
        <v>14</v>
      </c>
      <c r="G48" s="5">
        <v>74975</v>
      </c>
      <c r="H48" s="5">
        <v>17133</v>
      </c>
      <c r="I48" s="5">
        <v>10350</v>
      </c>
      <c r="J48" s="5">
        <v>23586</v>
      </c>
      <c r="K48" s="5">
        <v>24165</v>
      </c>
    </row>
    <row r="49" spans="1:11" x14ac:dyDescent="0.3">
      <c r="A49" s="8" t="s">
        <v>683</v>
      </c>
      <c r="B49" s="8" t="s">
        <v>92</v>
      </c>
      <c r="C49" s="8" t="s">
        <v>105</v>
      </c>
      <c r="D49" s="8">
        <v>158</v>
      </c>
      <c r="E49" s="8">
        <v>140</v>
      </c>
      <c r="F49" s="8">
        <v>18</v>
      </c>
      <c r="G49" s="8">
        <v>46710</v>
      </c>
      <c r="H49" s="8">
        <v>10416</v>
      </c>
      <c r="I49" s="8">
        <v>6550</v>
      </c>
      <c r="J49" s="8">
        <v>14346</v>
      </c>
      <c r="K49" s="8">
        <v>15221</v>
      </c>
    </row>
    <row r="50" spans="1:11" x14ac:dyDescent="0.3">
      <c r="A50" s="5" t="s">
        <v>684</v>
      </c>
      <c r="B50" s="5" t="s">
        <v>60</v>
      </c>
      <c r="C50" s="5" t="s">
        <v>61</v>
      </c>
      <c r="D50" s="5">
        <v>353</v>
      </c>
      <c r="E50" s="5">
        <v>322</v>
      </c>
      <c r="F50" s="5">
        <v>31</v>
      </c>
      <c r="G50" s="5">
        <v>321968</v>
      </c>
      <c r="H50" s="5">
        <v>70558</v>
      </c>
      <c r="I50" s="5">
        <v>41992</v>
      </c>
      <c r="J50" s="5">
        <v>83626</v>
      </c>
      <c r="K50" s="5">
        <v>125582</v>
      </c>
    </row>
    <row r="51" spans="1:11" x14ac:dyDescent="0.3">
      <c r="A51" s="8" t="s">
        <v>684</v>
      </c>
      <c r="B51" s="8" t="s">
        <v>60</v>
      </c>
      <c r="C51" s="8" t="s">
        <v>75</v>
      </c>
      <c r="D51" s="8">
        <v>467</v>
      </c>
      <c r="E51" s="8">
        <v>422</v>
      </c>
      <c r="F51" s="8">
        <v>45</v>
      </c>
      <c r="G51" s="8">
        <v>116312</v>
      </c>
      <c r="H51" s="8">
        <v>26574</v>
      </c>
      <c r="I51" s="8">
        <v>10673</v>
      </c>
      <c r="J51" s="8">
        <v>23970</v>
      </c>
      <c r="K51" s="8">
        <v>55439</v>
      </c>
    </row>
    <row r="52" spans="1:11" x14ac:dyDescent="0.3">
      <c r="A52" s="5" t="s">
        <v>684</v>
      </c>
      <c r="B52" s="5" t="s">
        <v>60</v>
      </c>
      <c r="C52" s="5" t="s">
        <v>82</v>
      </c>
      <c r="D52" s="5">
        <v>281</v>
      </c>
      <c r="E52" s="5">
        <v>246</v>
      </c>
      <c r="F52" s="5">
        <v>35</v>
      </c>
      <c r="G52" s="5">
        <v>194985</v>
      </c>
      <c r="H52" s="5">
        <v>30714</v>
      </c>
      <c r="I52" s="5">
        <v>14281</v>
      </c>
      <c r="J52" s="5">
        <v>49772</v>
      </c>
      <c r="K52" s="5">
        <v>100677</v>
      </c>
    </row>
    <row r="53" spans="1:11" x14ac:dyDescent="0.3">
      <c r="A53" s="8" t="s">
        <v>684</v>
      </c>
      <c r="B53" s="8" t="s">
        <v>60</v>
      </c>
      <c r="C53" s="8" t="s">
        <v>105</v>
      </c>
      <c r="D53" s="8">
        <v>365</v>
      </c>
      <c r="E53" s="8">
        <v>320</v>
      </c>
      <c r="F53" s="8">
        <v>45</v>
      </c>
      <c r="G53" s="8">
        <v>88895</v>
      </c>
      <c r="H53" s="8">
        <v>16758</v>
      </c>
      <c r="I53" s="8">
        <v>13172</v>
      </c>
      <c r="J53" s="8">
        <v>20691</v>
      </c>
      <c r="K53" s="8">
        <v>38520</v>
      </c>
    </row>
    <row r="54" spans="1:11" x14ac:dyDescent="0.3">
      <c r="A54" s="5" t="s">
        <v>684</v>
      </c>
      <c r="B54" s="5" t="s">
        <v>68</v>
      </c>
      <c r="C54" s="5" t="s">
        <v>61</v>
      </c>
      <c r="D54" s="5">
        <v>219</v>
      </c>
      <c r="E54" s="5">
        <v>198</v>
      </c>
      <c r="F54" s="5">
        <v>21</v>
      </c>
      <c r="G54" s="5">
        <v>175953</v>
      </c>
      <c r="H54" s="5">
        <v>29885</v>
      </c>
      <c r="I54" s="5">
        <v>26155</v>
      </c>
      <c r="J54" s="5">
        <v>54979</v>
      </c>
      <c r="K54" s="5">
        <v>65286</v>
      </c>
    </row>
    <row r="55" spans="1:11" x14ac:dyDescent="0.3">
      <c r="A55" s="8" t="s">
        <v>684</v>
      </c>
      <c r="B55" s="8" t="s">
        <v>68</v>
      </c>
      <c r="C55" s="8" t="s">
        <v>75</v>
      </c>
      <c r="D55" s="8">
        <v>387</v>
      </c>
      <c r="E55" s="8">
        <v>338</v>
      </c>
      <c r="F55" s="8">
        <v>49</v>
      </c>
      <c r="G55" s="8">
        <v>137648</v>
      </c>
      <c r="H55" s="8">
        <v>28944</v>
      </c>
      <c r="I55" s="8">
        <v>11138</v>
      </c>
      <c r="J55" s="8">
        <v>33416</v>
      </c>
      <c r="K55" s="8">
        <v>63828</v>
      </c>
    </row>
    <row r="56" spans="1:11" x14ac:dyDescent="0.3">
      <c r="A56" s="5" t="s">
        <v>684</v>
      </c>
      <c r="B56" s="5" t="s">
        <v>68</v>
      </c>
      <c r="C56" s="5" t="s">
        <v>82</v>
      </c>
      <c r="D56" s="5">
        <v>221</v>
      </c>
      <c r="E56" s="5">
        <v>206</v>
      </c>
      <c r="F56" s="5">
        <v>15</v>
      </c>
      <c r="G56" s="5">
        <v>157252</v>
      </c>
      <c r="H56" s="5">
        <v>31084</v>
      </c>
      <c r="I56" s="5">
        <v>11662</v>
      </c>
      <c r="J56" s="5">
        <v>49776</v>
      </c>
      <c r="K56" s="5">
        <v>64559</v>
      </c>
    </row>
    <row r="57" spans="1:11" x14ac:dyDescent="0.3">
      <c r="A57" s="8" t="s">
        <v>684</v>
      </c>
      <c r="B57" s="8" t="s">
        <v>68</v>
      </c>
      <c r="C57" s="8" t="s">
        <v>105</v>
      </c>
      <c r="D57" s="8">
        <v>137</v>
      </c>
      <c r="E57" s="8">
        <v>125</v>
      </c>
      <c r="F57" s="8">
        <v>12</v>
      </c>
      <c r="G57" s="8">
        <v>146395</v>
      </c>
      <c r="H57" s="8">
        <v>31289</v>
      </c>
      <c r="I57" s="8">
        <v>7517</v>
      </c>
      <c r="J57" s="8">
        <v>46704</v>
      </c>
      <c r="K57" s="8">
        <v>60730</v>
      </c>
    </row>
    <row r="58" spans="1:11" x14ac:dyDescent="0.3">
      <c r="A58" s="5" t="s">
        <v>684</v>
      </c>
      <c r="B58" s="5" t="s">
        <v>74</v>
      </c>
      <c r="C58" s="5" t="s">
        <v>61</v>
      </c>
      <c r="D58" s="5">
        <v>468</v>
      </c>
      <c r="E58" s="5">
        <v>440</v>
      </c>
      <c r="F58" s="5">
        <v>28</v>
      </c>
      <c r="G58" s="5">
        <v>369146</v>
      </c>
      <c r="H58" s="5">
        <v>78124</v>
      </c>
      <c r="I58" s="5">
        <v>32582</v>
      </c>
      <c r="J58" s="5">
        <v>92358</v>
      </c>
      <c r="K58" s="5">
        <v>165770</v>
      </c>
    </row>
    <row r="59" spans="1:11" x14ac:dyDescent="0.3">
      <c r="A59" s="8" t="s">
        <v>684</v>
      </c>
      <c r="B59" s="8" t="s">
        <v>74</v>
      </c>
      <c r="C59" s="8" t="s">
        <v>75</v>
      </c>
      <c r="D59" s="8">
        <v>383</v>
      </c>
      <c r="E59" s="8">
        <v>331</v>
      </c>
      <c r="F59" s="8">
        <v>52</v>
      </c>
      <c r="G59" s="8">
        <v>195998</v>
      </c>
      <c r="H59" s="8">
        <v>57495</v>
      </c>
      <c r="I59" s="8">
        <v>23345</v>
      </c>
      <c r="J59" s="8">
        <v>42391</v>
      </c>
      <c r="K59" s="8">
        <v>72597</v>
      </c>
    </row>
    <row r="60" spans="1:11" x14ac:dyDescent="0.3">
      <c r="A60" s="5" t="s">
        <v>684</v>
      </c>
      <c r="B60" s="5" t="s">
        <v>74</v>
      </c>
      <c r="C60" s="5" t="s">
        <v>82</v>
      </c>
      <c r="D60" s="5">
        <v>228</v>
      </c>
      <c r="E60" s="5">
        <v>208</v>
      </c>
      <c r="F60" s="5">
        <v>20</v>
      </c>
      <c r="G60" s="5">
        <v>212421</v>
      </c>
      <c r="H60" s="5">
        <v>37505</v>
      </c>
      <c r="I60" s="5">
        <v>20109</v>
      </c>
      <c r="J60" s="5">
        <v>54910</v>
      </c>
      <c r="K60" s="5">
        <v>99929</v>
      </c>
    </row>
    <row r="61" spans="1:11" x14ac:dyDescent="0.3">
      <c r="A61" s="8" t="s">
        <v>684</v>
      </c>
      <c r="B61" s="8" t="s">
        <v>74</v>
      </c>
      <c r="C61" s="8" t="s">
        <v>105</v>
      </c>
      <c r="D61" s="8">
        <v>91</v>
      </c>
      <c r="E61" s="8">
        <v>78</v>
      </c>
      <c r="F61" s="8">
        <v>13</v>
      </c>
      <c r="G61" s="8">
        <v>45032</v>
      </c>
      <c r="H61" s="8">
        <v>13150</v>
      </c>
      <c r="I61" s="8">
        <v>3711</v>
      </c>
      <c r="J61" s="8">
        <v>15051</v>
      </c>
      <c r="K61" s="8">
        <v>13451</v>
      </c>
    </row>
    <row r="62" spans="1:11" x14ac:dyDescent="0.3">
      <c r="A62" s="5" t="s">
        <v>684</v>
      </c>
      <c r="B62" s="5" t="s">
        <v>81</v>
      </c>
      <c r="C62" s="5" t="s">
        <v>61</v>
      </c>
      <c r="D62" s="5">
        <v>181</v>
      </c>
      <c r="E62" s="5">
        <v>176</v>
      </c>
      <c r="F62" s="5">
        <v>5</v>
      </c>
      <c r="G62" s="5">
        <v>66120</v>
      </c>
      <c r="H62" s="5">
        <v>15537</v>
      </c>
      <c r="I62" s="5">
        <v>4329</v>
      </c>
      <c r="J62" s="5">
        <v>15968</v>
      </c>
      <c r="K62" s="5">
        <v>29972</v>
      </c>
    </row>
    <row r="63" spans="1:11" x14ac:dyDescent="0.3">
      <c r="A63" s="8" t="s">
        <v>684</v>
      </c>
      <c r="B63" s="8" t="s">
        <v>81</v>
      </c>
      <c r="C63" s="8" t="s">
        <v>75</v>
      </c>
      <c r="D63" s="8">
        <v>495</v>
      </c>
      <c r="E63" s="8">
        <v>440</v>
      </c>
      <c r="F63" s="8">
        <v>55</v>
      </c>
      <c r="G63" s="8">
        <v>314627</v>
      </c>
      <c r="H63" s="8">
        <v>52233</v>
      </c>
      <c r="I63" s="8">
        <v>16944</v>
      </c>
      <c r="J63" s="8">
        <v>91211</v>
      </c>
      <c r="K63" s="8">
        <v>153981</v>
      </c>
    </row>
    <row r="64" spans="1:11" x14ac:dyDescent="0.3">
      <c r="A64" s="5" t="s">
        <v>684</v>
      </c>
      <c r="B64" s="5" t="s">
        <v>81</v>
      </c>
      <c r="C64" s="5" t="s">
        <v>82</v>
      </c>
      <c r="D64" s="5">
        <v>446</v>
      </c>
      <c r="E64" s="5">
        <v>401</v>
      </c>
      <c r="F64" s="5">
        <v>45</v>
      </c>
      <c r="G64" s="5">
        <v>324633</v>
      </c>
      <c r="H64" s="5">
        <v>81169</v>
      </c>
      <c r="I64" s="5">
        <v>21973</v>
      </c>
      <c r="J64" s="5">
        <v>75521</v>
      </c>
      <c r="K64" s="5">
        <v>146258</v>
      </c>
    </row>
    <row r="65" spans="1:11" x14ac:dyDescent="0.3">
      <c r="A65" s="8" t="s">
        <v>684</v>
      </c>
      <c r="B65" s="8" t="s">
        <v>81</v>
      </c>
      <c r="C65" s="8" t="s">
        <v>105</v>
      </c>
      <c r="D65" s="8">
        <v>240</v>
      </c>
      <c r="E65" s="8">
        <v>205</v>
      </c>
      <c r="F65" s="8">
        <v>35</v>
      </c>
      <c r="G65" s="8">
        <v>198245</v>
      </c>
      <c r="H65" s="8">
        <v>32408</v>
      </c>
      <c r="I65" s="8">
        <v>25177</v>
      </c>
      <c r="J65" s="8">
        <v>46593</v>
      </c>
      <c r="K65" s="8">
        <v>94006</v>
      </c>
    </row>
    <row r="66" spans="1:11" x14ac:dyDescent="0.3">
      <c r="A66" s="5" t="s">
        <v>684</v>
      </c>
      <c r="B66" s="5" t="s">
        <v>88</v>
      </c>
      <c r="C66" s="5" t="s">
        <v>61</v>
      </c>
      <c r="D66" s="5">
        <v>469</v>
      </c>
      <c r="E66" s="5">
        <v>452</v>
      </c>
      <c r="F66" s="5">
        <v>17</v>
      </c>
      <c r="G66" s="5">
        <v>314886</v>
      </c>
      <c r="H66" s="5">
        <v>86384</v>
      </c>
      <c r="I66" s="5">
        <v>23439</v>
      </c>
      <c r="J66" s="5">
        <v>66872</v>
      </c>
      <c r="K66" s="5">
        <v>137898</v>
      </c>
    </row>
    <row r="67" spans="1:11" x14ac:dyDescent="0.3">
      <c r="A67" s="8" t="s">
        <v>684</v>
      </c>
      <c r="B67" s="8" t="s">
        <v>88</v>
      </c>
      <c r="C67" s="8" t="s">
        <v>75</v>
      </c>
      <c r="D67" s="8">
        <v>137</v>
      </c>
      <c r="E67" s="8">
        <v>132</v>
      </c>
      <c r="F67" s="8">
        <v>5</v>
      </c>
      <c r="G67" s="8">
        <v>115041</v>
      </c>
      <c r="H67" s="8">
        <v>32447</v>
      </c>
      <c r="I67" s="8">
        <v>16107</v>
      </c>
      <c r="J67" s="8">
        <v>33162</v>
      </c>
      <c r="K67" s="8">
        <v>33389</v>
      </c>
    </row>
    <row r="68" spans="1:11" x14ac:dyDescent="0.3">
      <c r="A68" s="5" t="s">
        <v>684</v>
      </c>
      <c r="B68" s="5" t="s">
        <v>88</v>
      </c>
      <c r="C68" s="5" t="s">
        <v>82</v>
      </c>
      <c r="D68" s="5">
        <v>190</v>
      </c>
      <c r="E68" s="5">
        <v>165</v>
      </c>
      <c r="F68" s="5">
        <v>25</v>
      </c>
      <c r="G68" s="5">
        <v>69269</v>
      </c>
      <c r="H68" s="5">
        <v>18536</v>
      </c>
      <c r="I68" s="5">
        <v>3761</v>
      </c>
      <c r="J68" s="5">
        <v>17068</v>
      </c>
      <c r="K68" s="5">
        <v>29905</v>
      </c>
    </row>
    <row r="69" spans="1:11" x14ac:dyDescent="0.3">
      <c r="A69" s="8" t="s">
        <v>684</v>
      </c>
      <c r="B69" s="8" t="s">
        <v>88</v>
      </c>
      <c r="C69" s="8" t="s">
        <v>105</v>
      </c>
      <c r="D69" s="8">
        <v>358</v>
      </c>
      <c r="E69" s="8">
        <v>342</v>
      </c>
      <c r="F69" s="8">
        <v>16</v>
      </c>
      <c r="G69" s="8">
        <v>175672</v>
      </c>
      <c r="H69" s="8">
        <v>38377</v>
      </c>
      <c r="I69" s="8">
        <v>20423</v>
      </c>
      <c r="J69" s="8">
        <v>35509</v>
      </c>
      <c r="K69" s="8">
        <v>81058</v>
      </c>
    </row>
    <row r="70" spans="1:11" x14ac:dyDescent="0.3">
      <c r="A70" s="5" t="s">
        <v>684</v>
      </c>
      <c r="B70" s="5" t="s">
        <v>92</v>
      </c>
      <c r="C70" s="5" t="s">
        <v>61</v>
      </c>
      <c r="D70" s="5">
        <v>454</v>
      </c>
      <c r="E70" s="5">
        <v>394</v>
      </c>
      <c r="F70" s="5">
        <v>60</v>
      </c>
      <c r="G70" s="5">
        <v>131718</v>
      </c>
      <c r="H70" s="5">
        <v>22857</v>
      </c>
      <c r="I70" s="5">
        <v>7146</v>
      </c>
      <c r="J70" s="5">
        <v>41229</v>
      </c>
      <c r="K70" s="5">
        <v>60966</v>
      </c>
    </row>
    <row r="71" spans="1:11" x14ac:dyDescent="0.3">
      <c r="A71" s="8" t="s">
        <v>684</v>
      </c>
      <c r="B71" s="8" t="s">
        <v>92</v>
      </c>
      <c r="C71" s="8" t="s">
        <v>75</v>
      </c>
      <c r="D71" s="8">
        <v>66</v>
      </c>
      <c r="E71" s="8">
        <v>57</v>
      </c>
      <c r="F71" s="8">
        <v>9</v>
      </c>
      <c r="G71" s="8">
        <v>43289</v>
      </c>
      <c r="H71" s="8">
        <v>7983</v>
      </c>
      <c r="I71" s="8">
        <v>5119</v>
      </c>
      <c r="J71" s="8">
        <v>11815</v>
      </c>
      <c r="K71" s="8">
        <v>18085</v>
      </c>
    </row>
    <row r="72" spans="1:11" x14ac:dyDescent="0.3">
      <c r="A72" s="5" t="s">
        <v>684</v>
      </c>
      <c r="B72" s="5" t="s">
        <v>92</v>
      </c>
      <c r="C72" s="5" t="s">
        <v>82</v>
      </c>
      <c r="D72" s="5">
        <v>166</v>
      </c>
      <c r="E72" s="5">
        <v>153</v>
      </c>
      <c r="F72" s="5">
        <v>13</v>
      </c>
      <c r="G72" s="5">
        <v>96945</v>
      </c>
      <c r="H72" s="5">
        <v>24384</v>
      </c>
      <c r="I72" s="5">
        <v>8329</v>
      </c>
      <c r="J72" s="5">
        <v>20347</v>
      </c>
      <c r="K72" s="5">
        <v>44351</v>
      </c>
    </row>
    <row r="73" spans="1:11" x14ac:dyDescent="0.3">
      <c r="A73" s="8" t="s">
        <v>684</v>
      </c>
      <c r="B73" s="8" t="s">
        <v>92</v>
      </c>
      <c r="C73" s="8" t="s">
        <v>105</v>
      </c>
      <c r="D73" s="8">
        <v>62</v>
      </c>
      <c r="E73" s="8">
        <v>54</v>
      </c>
      <c r="F73" s="8">
        <v>8</v>
      </c>
      <c r="G73" s="8">
        <v>34448</v>
      </c>
      <c r="H73" s="8">
        <v>5701</v>
      </c>
      <c r="I73" s="8">
        <v>4425</v>
      </c>
      <c r="J73" s="8">
        <v>11273</v>
      </c>
      <c r="K73" s="8">
        <v>12657</v>
      </c>
    </row>
    <row r="74" spans="1:11" x14ac:dyDescent="0.3">
      <c r="A74" s="5" t="s">
        <v>685</v>
      </c>
      <c r="B74" s="5" t="s">
        <v>60</v>
      </c>
      <c r="C74" s="5" t="s">
        <v>61</v>
      </c>
      <c r="D74" s="5">
        <v>467</v>
      </c>
      <c r="E74" s="5">
        <v>414</v>
      </c>
      <c r="F74" s="5">
        <v>53</v>
      </c>
      <c r="G74" s="5">
        <v>379762</v>
      </c>
      <c r="H74" s="5">
        <v>110705</v>
      </c>
      <c r="I74" s="5">
        <v>47419</v>
      </c>
      <c r="J74" s="5">
        <v>116079</v>
      </c>
      <c r="K74" s="5">
        <v>105199</v>
      </c>
    </row>
    <row r="75" spans="1:11" x14ac:dyDescent="0.3">
      <c r="A75" s="8" t="s">
        <v>685</v>
      </c>
      <c r="B75" s="8" t="s">
        <v>60</v>
      </c>
      <c r="C75" s="8" t="s">
        <v>75</v>
      </c>
      <c r="D75" s="8">
        <v>167</v>
      </c>
      <c r="E75" s="8">
        <v>154</v>
      </c>
      <c r="F75" s="8">
        <v>13</v>
      </c>
      <c r="G75" s="8">
        <v>85256</v>
      </c>
      <c r="H75" s="8">
        <v>19606</v>
      </c>
      <c r="I75" s="8">
        <v>10360</v>
      </c>
      <c r="J75" s="8">
        <v>19601</v>
      </c>
      <c r="K75" s="8">
        <v>35516</v>
      </c>
    </row>
    <row r="76" spans="1:11" x14ac:dyDescent="0.3">
      <c r="A76" s="5" t="s">
        <v>685</v>
      </c>
      <c r="B76" s="5" t="s">
        <v>60</v>
      </c>
      <c r="C76" s="5" t="s">
        <v>82</v>
      </c>
      <c r="D76" s="5">
        <v>157</v>
      </c>
      <c r="E76" s="5">
        <v>139</v>
      </c>
      <c r="F76" s="5">
        <v>18</v>
      </c>
      <c r="G76" s="5">
        <v>148754</v>
      </c>
      <c r="H76" s="5">
        <v>29163</v>
      </c>
      <c r="I76" s="5">
        <v>8992</v>
      </c>
      <c r="J76" s="5">
        <v>49646</v>
      </c>
      <c r="K76" s="5">
        <v>61193</v>
      </c>
    </row>
    <row r="77" spans="1:11" x14ac:dyDescent="0.3">
      <c r="A77" s="8" t="s">
        <v>685</v>
      </c>
      <c r="B77" s="8" t="s">
        <v>60</v>
      </c>
      <c r="C77" s="8" t="s">
        <v>105</v>
      </c>
      <c r="D77" s="8">
        <v>153</v>
      </c>
      <c r="E77" s="8">
        <v>147</v>
      </c>
      <c r="F77" s="8">
        <v>6</v>
      </c>
      <c r="G77" s="8">
        <v>29912</v>
      </c>
      <c r="H77" s="8">
        <v>6401</v>
      </c>
      <c r="I77" s="8">
        <v>4116</v>
      </c>
      <c r="J77" s="8">
        <v>6751</v>
      </c>
      <c r="K77" s="8">
        <v>12615</v>
      </c>
    </row>
    <row r="78" spans="1:11" x14ac:dyDescent="0.3">
      <c r="A78" s="5" t="s">
        <v>685</v>
      </c>
      <c r="B78" s="5" t="s">
        <v>68</v>
      </c>
      <c r="C78" s="5" t="s">
        <v>61</v>
      </c>
      <c r="D78" s="5">
        <v>52</v>
      </c>
      <c r="E78" s="5">
        <v>46</v>
      </c>
      <c r="F78" s="5">
        <v>6</v>
      </c>
      <c r="G78" s="5">
        <v>32468</v>
      </c>
      <c r="H78" s="5">
        <v>8990</v>
      </c>
      <c r="I78" s="5">
        <v>2459</v>
      </c>
      <c r="J78" s="5">
        <v>7682</v>
      </c>
      <c r="K78" s="5">
        <v>12843</v>
      </c>
    </row>
    <row r="79" spans="1:11" x14ac:dyDescent="0.3">
      <c r="A79" s="8" t="s">
        <v>685</v>
      </c>
      <c r="B79" s="8" t="s">
        <v>68</v>
      </c>
      <c r="C79" s="8" t="s">
        <v>75</v>
      </c>
      <c r="D79" s="8">
        <v>348</v>
      </c>
      <c r="E79" s="8">
        <v>342</v>
      </c>
      <c r="F79" s="8">
        <v>6</v>
      </c>
      <c r="G79" s="8">
        <v>359399</v>
      </c>
      <c r="H79" s="8">
        <v>104485</v>
      </c>
      <c r="I79" s="8">
        <v>34509</v>
      </c>
      <c r="J79" s="8">
        <v>121040</v>
      </c>
      <c r="K79" s="8">
        <v>99420</v>
      </c>
    </row>
    <row r="80" spans="1:11" x14ac:dyDescent="0.3">
      <c r="A80" s="5" t="s">
        <v>685</v>
      </c>
      <c r="B80" s="5" t="s">
        <v>68</v>
      </c>
      <c r="C80" s="5" t="s">
        <v>82</v>
      </c>
      <c r="D80" s="5">
        <v>235</v>
      </c>
      <c r="E80" s="5">
        <v>203</v>
      </c>
      <c r="F80" s="5">
        <v>32</v>
      </c>
      <c r="G80" s="5">
        <v>215549</v>
      </c>
      <c r="H80" s="5">
        <v>57183</v>
      </c>
      <c r="I80" s="5">
        <v>19312</v>
      </c>
      <c r="J80" s="5">
        <v>66270</v>
      </c>
      <c r="K80" s="5">
        <v>72744</v>
      </c>
    </row>
    <row r="81" spans="1:11" x14ac:dyDescent="0.3">
      <c r="A81" s="8" t="s">
        <v>685</v>
      </c>
      <c r="B81" s="8" t="s">
        <v>68</v>
      </c>
      <c r="C81" s="8" t="s">
        <v>105</v>
      </c>
      <c r="D81" s="8">
        <v>64</v>
      </c>
      <c r="E81" s="8">
        <v>55</v>
      </c>
      <c r="F81" s="8">
        <v>9</v>
      </c>
      <c r="G81" s="8">
        <v>16833</v>
      </c>
      <c r="H81" s="8">
        <v>3130</v>
      </c>
      <c r="I81" s="8">
        <v>1402</v>
      </c>
      <c r="J81" s="8">
        <v>5282</v>
      </c>
      <c r="K81" s="8">
        <v>6989</v>
      </c>
    </row>
    <row r="82" spans="1:11" x14ac:dyDescent="0.3">
      <c r="A82" s="5" t="s">
        <v>685</v>
      </c>
      <c r="B82" s="5" t="s">
        <v>74</v>
      </c>
      <c r="C82" s="5" t="s">
        <v>61</v>
      </c>
      <c r="D82" s="5">
        <v>152</v>
      </c>
      <c r="E82" s="5">
        <v>137</v>
      </c>
      <c r="F82" s="5">
        <v>15</v>
      </c>
      <c r="G82" s="5">
        <v>102681</v>
      </c>
      <c r="H82" s="5">
        <v>26160</v>
      </c>
      <c r="I82" s="5">
        <v>10525</v>
      </c>
      <c r="J82" s="5">
        <v>28591</v>
      </c>
      <c r="K82" s="5">
        <v>37599</v>
      </c>
    </row>
    <row r="83" spans="1:11" x14ac:dyDescent="0.3">
      <c r="A83" s="8" t="s">
        <v>685</v>
      </c>
      <c r="B83" s="8" t="s">
        <v>74</v>
      </c>
      <c r="C83" s="8" t="s">
        <v>75</v>
      </c>
      <c r="D83" s="8">
        <v>216</v>
      </c>
      <c r="E83" s="8">
        <v>201</v>
      </c>
      <c r="F83" s="8">
        <v>15</v>
      </c>
      <c r="G83" s="8">
        <v>104446</v>
      </c>
      <c r="H83" s="8">
        <v>16496</v>
      </c>
      <c r="I83" s="8">
        <v>15127</v>
      </c>
      <c r="J83" s="8">
        <v>29884</v>
      </c>
      <c r="K83" s="8">
        <v>43219</v>
      </c>
    </row>
    <row r="84" spans="1:11" x14ac:dyDescent="0.3">
      <c r="A84" s="5" t="s">
        <v>685</v>
      </c>
      <c r="B84" s="5" t="s">
        <v>74</v>
      </c>
      <c r="C84" s="5" t="s">
        <v>82</v>
      </c>
      <c r="D84" s="5">
        <v>398</v>
      </c>
      <c r="E84" s="5">
        <v>347</v>
      </c>
      <c r="F84" s="5">
        <v>51</v>
      </c>
      <c r="G84" s="5">
        <v>319215</v>
      </c>
      <c r="H84" s="5">
        <v>57598</v>
      </c>
      <c r="I84" s="5">
        <v>45484</v>
      </c>
      <c r="J84" s="5">
        <v>76011</v>
      </c>
      <c r="K84" s="5">
        <v>140505</v>
      </c>
    </row>
    <row r="85" spans="1:11" x14ac:dyDescent="0.3">
      <c r="A85" s="8" t="s">
        <v>685</v>
      </c>
      <c r="B85" s="8" t="s">
        <v>74</v>
      </c>
      <c r="C85" s="8" t="s">
        <v>105</v>
      </c>
      <c r="D85" s="8">
        <v>474</v>
      </c>
      <c r="E85" s="8">
        <v>417</v>
      </c>
      <c r="F85" s="8">
        <v>57</v>
      </c>
      <c r="G85" s="8">
        <v>478187</v>
      </c>
      <c r="H85" s="8">
        <v>141494</v>
      </c>
      <c r="I85" s="8">
        <v>56151</v>
      </c>
      <c r="J85" s="8">
        <v>160579</v>
      </c>
      <c r="K85" s="8">
        <v>119674</v>
      </c>
    </row>
    <row r="86" spans="1:11" x14ac:dyDescent="0.3">
      <c r="A86" s="5" t="s">
        <v>685</v>
      </c>
      <c r="B86" s="5" t="s">
        <v>81</v>
      </c>
      <c r="C86" s="5" t="s">
        <v>61</v>
      </c>
      <c r="D86" s="5">
        <v>342</v>
      </c>
      <c r="E86" s="5">
        <v>308</v>
      </c>
      <c r="F86" s="5">
        <v>34</v>
      </c>
      <c r="G86" s="5">
        <v>344802</v>
      </c>
      <c r="H86" s="5">
        <v>94972</v>
      </c>
      <c r="I86" s="5">
        <v>39632</v>
      </c>
      <c r="J86" s="5">
        <v>94917</v>
      </c>
      <c r="K86" s="5">
        <v>114938</v>
      </c>
    </row>
    <row r="87" spans="1:11" x14ac:dyDescent="0.3">
      <c r="A87" s="8" t="s">
        <v>685</v>
      </c>
      <c r="B87" s="8" t="s">
        <v>81</v>
      </c>
      <c r="C87" s="8" t="s">
        <v>75</v>
      </c>
      <c r="D87" s="8">
        <v>385</v>
      </c>
      <c r="E87" s="8">
        <v>359</v>
      </c>
      <c r="F87" s="8">
        <v>26</v>
      </c>
      <c r="G87" s="8">
        <v>287778</v>
      </c>
      <c r="H87" s="8">
        <v>68787</v>
      </c>
      <c r="I87" s="8">
        <v>34203</v>
      </c>
      <c r="J87" s="8">
        <v>77382</v>
      </c>
      <c r="K87" s="8">
        <v>106917</v>
      </c>
    </row>
    <row r="88" spans="1:11" x14ac:dyDescent="0.3">
      <c r="A88" s="5" t="s">
        <v>685</v>
      </c>
      <c r="B88" s="5" t="s">
        <v>81</v>
      </c>
      <c r="C88" s="5" t="s">
        <v>82</v>
      </c>
      <c r="D88" s="5">
        <v>355</v>
      </c>
      <c r="E88" s="5">
        <v>339</v>
      </c>
      <c r="F88" s="5">
        <v>16</v>
      </c>
      <c r="G88" s="5">
        <v>366479</v>
      </c>
      <c r="H88" s="5">
        <v>93509</v>
      </c>
      <c r="I88" s="5">
        <v>43589</v>
      </c>
      <c r="J88" s="5">
        <v>85007</v>
      </c>
      <c r="K88" s="5">
        <v>144530</v>
      </c>
    </row>
    <row r="89" spans="1:11" x14ac:dyDescent="0.3">
      <c r="A89" s="8" t="s">
        <v>685</v>
      </c>
      <c r="B89" s="8" t="s">
        <v>81</v>
      </c>
      <c r="C89" s="8" t="s">
        <v>105</v>
      </c>
      <c r="D89" s="8">
        <v>199</v>
      </c>
      <c r="E89" s="8">
        <v>191</v>
      </c>
      <c r="F89" s="8">
        <v>8</v>
      </c>
      <c r="G89" s="8">
        <v>61444</v>
      </c>
      <c r="H89" s="8">
        <v>9604</v>
      </c>
      <c r="I89" s="8">
        <v>4261</v>
      </c>
      <c r="J89" s="8">
        <v>20167</v>
      </c>
      <c r="K89" s="8">
        <v>27341</v>
      </c>
    </row>
    <row r="90" spans="1:11" x14ac:dyDescent="0.3">
      <c r="A90" s="5" t="s">
        <v>685</v>
      </c>
      <c r="B90" s="5" t="s">
        <v>88</v>
      </c>
      <c r="C90" s="5" t="s">
        <v>61</v>
      </c>
      <c r="D90" s="5">
        <v>163</v>
      </c>
      <c r="E90" s="5">
        <v>158</v>
      </c>
      <c r="F90" s="5">
        <v>5</v>
      </c>
      <c r="G90" s="5">
        <v>182999</v>
      </c>
      <c r="H90" s="5">
        <v>33311</v>
      </c>
      <c r="I90" s="5">
        <v>13278</v>
      </c>
      <c r="J90" s="5">
        <v>46870</v>
      </c>
      <c r="K90" s="5">
        <v>89116</v>
      </c>
    </row>
    <row r="91" spans="1:11" x14ac:dyDescent="0.3">
      <c r="A91" s="8" t="s">
        <v>685</v>
      </c>
      <c r="B91" s="8" t="s">
        <v>88</v>
      </c>
      <c r="C91" s="8" t="s">
        <v>75</v>
      </c>
      <c r="D91" s="8">
        <v>454</v>
      </c>
      <c r="E91" s="8">
        <v>393</v>
      </c>
      <c r="F91" s="8">
        <v>61</v>
      </c>
      <c r="G91" s="8">
        <v>140320</v>
      </c>
      <c r="H91" s="8">
        <v>40814</v>
      </c>
      <c r="I91" s="8">
        <v>12578</v>
      </c>
      <c r="J91" s="8">
        <v>29541</v>
      </c>
      <c r="K91" s="8">
        <v>57104</v>
      </c>
    </row>
    <row r="92" spans="1:11" x14ac:dyDescent="0.3">
      <c r="A92" s="5" t="s">
        <v>685</v>
      </c>
      <c r="B92" s="5" t="s">
        <v>88</v>
      </c>
      <c r="C92" s="5" t="s">
        <v>82</v>
      </c>
      <c r="D92" s="5">
        <v>206</v>
      </c>
      <c r="E92" s="5">
        <v>195</v>
      </c>
      <c r="F92" s="5">
        <v>11</v>
      </c>
      <c r="G92" s="5">
        <v>138398</v>
      </c>
      <c r="H92" s="5">
        <v>27517</v>
      </c>
      <c r="I92" s="5">
        <v>14673</v>
      </c>
      <c r="J92" s="5">
        <v>45495</v>
      </c>
      <c r="K92" s="5">
        <v>50832</v>
      </c>
    </row>
    <row r="93" spans="1:11" x14ac:dyDescent="0.3">
      <c r="A93" s="8" t="s">
        <v>685</v>
      </c>
      <c r="B93" s="8" t="s">
        <v>88</v>
      </c>
      <c r="C93" s="8" t="s">
        <v>105</v>
      </c>
      <c r="D93" s="8">
        <v>162</v>
      </c>
      <c r="E93" s="8">
        <v>139</v>
      </c>
      <c r="F93" s="8">
        <v>23</v>
      </c>
      <c r="G93" s="8">
        <v>107757</v>
      </c>
      <c r="H93" s="8">
        <v>19712</v>
      </c>
      <c r="I93" s="8">
        <v>15167</v>
      </c>
      <c r="J93" s="8">
        <v>36904</v>
      </c>
      <c r="K93" s="8">
        <v>35979</v>
      </c>
    </row>
    <row r="94" spans="1:11" x14ac:dyDescent="0.3">
      <c r="A94" s="5" t="s">
        <v>685</v>
      </c>
      <c r="B94" s="5" t="s">
        <v>92</v>
      </c>
      <c r="C94" s="5" t="s">
        <v>61</v>
      </c>
      <c r="D94" s="5">
        <v>258</v>
      </c>
      <c r="E94" s="5">
        <v>251</v>
      </c>
      <c r="F94" s="5">
        <v>7</v>
      </c>
      <c r="G94" s="5">
        <v>181597</v>
      </c>
      <c r="H94" s="5">
        <v>34171</v>
      </c>
      <c r="I94" s="5">
        <v>10422</v>
      </c>
      <c r="J94" s="5">
        <v>52223</v>
      </c>
      <c r="K94" s="5">
        <v>85001</v>
      </c>
    </row>
    <row r="95" spans="1:11" x14ac:dyDescent="0.3">
      <c r="A95" s="8" t="s">
        <v>685</v>
      </c>
      <c r="B95" s="8" t="s">
        <v>92</v>
      </c>
      <c r="C95" s="8" t="s">
        <v>75</v>
      </c>
      <c r="D95" s="8">
        <v>246</v>
      </c>
      <c r="E95" s="8">
        <v>233</v>
      </c>
      <c r="F95" s="8">
        <v>13</v>
      </c>
      <c r="G95" s="8">
        <v>265331</v>
      </c>
      <c r="H95" s="8">
        <v>43654</v>
      </c>
      <c r="I95" s="8">
        <v>21920</v>
      </c>
      <c r="J95" s="8">
        <v>83628</v>
      </c>
      <c r="K95" s="8">
        <v>116345</v>
      </c>
    </row>
    <row r="96" spans="1:11" x14ac:dyDescent="0.3">
      <c r="A96" s="5" t="s">
        <v>685</v>
      </c>
      <c r="B96" s="5" t="s">
        <v>92</v>
      </c>
      <c r="C96" s="5" t="s">
        <v>82</v>
      </c>
      <c r="D96" s="5">
        <v>470</v>
      </c>
      <c r="E96" s="5">
        <v>455</v>
      </c>
      <c r="F96" s="5">
        <v>15</v>
      </c>
      <c r="G96" s="5">
        <v>314911</v>
      </c>
      <c r="H96" s="5">
        <v>59749</v>
      </c>
      <c r="I96" s="5">
        <v>21908</v>
      </c>
      <c r="J96" s="5">
        <v>107532</v>
      </c>
      <c r="K96" s="5">
        <v>126090</v>
      </c>
    </row>
    <row r="97" spans="1:11" x14ac:dyDescent="0.3">
      <c r="A97" s="8" t="s">
        <v>685</v>
      </c>
      <c r="B97" s="8" t="s">
        <v>92</v>
      </c>
      <c r="C97" s="8" t="s">
        <v>105</v>
      </c>
      <c r="D97" s="8">
        <v>262</v>
      </c>
      <c r="E97" s="8">
        <v>254</v>
      </c>
      <c r="F97" s="8">
        <v>8</v>
      </c>
      <c r="G97" s="8">
        <v>104818</v>
      </c>
      <c r="H97" s="8">
        <v>27984</v>
      </c>
      <c r="I97" s="8">
        <v>7713</v>
      </c>
      <c r="J97" s="8">
        <v>24756</v>
      </c>
      <c r="K97" s="8">
        <v>44136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814A6-14F5-4C75-A3C2-ECEC358A8506}">
  <dimension ref="A1:E25"/>
  <sheetViews>
    <sheetView workbookViewId="0">
      <selection activeCell="B3" sqref="B3"/>
    </sheetView>
  </sheetViews>
  <sheetFormatPr defaultRowHeight="14.4" x14ac:dyDescent="0.3"/>
  <cols>
    <col min="1" max="1" width="17.33203125" customWidth="1"/>
    <col min="2" max="2" width="22.88671875" customWidth="1"/>
    <col min="4" max="4" width="23" customWidth="1"/>
    <col min="5" max="5" width="31.5546875" customWidth="1"/>
  </cols>
  <sheetData>
    <row r="1" spans="1:5" ht="15.6" x14ac:dyDescent="0.3">
      <c r="A1" s="65" t="s">
        <v>703</v>
      </c>
      <c r="B1" s="66"/>
      <c r="D1" s="65" t="s">
        <v>704</v>
      </c>
      <c r="E1" s="66"/>
    </row>
    <row r="2" spans="1:5" ht="15.6" x14ac:dyDescent="0.3">
      <c r="A2" s="4" t="s">
        <v>47</v>
      </c>
      <c r="B2" s="4" t="s">
        <v>690</v>
      </c>
      <c r="D2" s="4" t="s">
        <v>47</v>
      </c>
      <c r="E2" s="4" t="s">
        <v>690</v>
      </c>
    </row>
    <row r="3" spans="1:5" x14ac:dyDescent="0.3">
      <c r="A3" s="5" t="s">
        <v>60</v>
      </c>
      <c r="B3" s="5">
        <f>COUNTIF(Fleet_Vehicle_Data!$I:$I,A3)</f>
        <v>5</v>
      </c>
      <c r="D3" s="5" t="s">
        <v>60</v>
      </c>
      <c r="E3" s="5">
        <f>COUNTIFS(Fleet_Vehicle_Data!$I:$I,D3,Fleet_Vehicle_Data!$O:$O,"&gt;4")</f>
        <v>3</v>
      </c>
    </row>
    <row r="4" spans="1:5" x14ac:dyDescent="0.3">
      <c r="A4" s="8" t="s">
        <v>68</v>
      </c>
      <c r="B4" s="8">
        <f>COUNTIF(Fleet_Vehicle_Data!$I:$I,A4)</f>
        <v>5</v>
      </c>
      <c r="D4" s="8" t="s">
        <v>68</v>
      </c>
      <c r="E4" s="8">
        <f>COUNTIFS(Fleet_Vehicle_Data!$I:$I,D4,Fleet_Vehicle_Data!$O:$O,"&gt;4")</f>
        <v>5</v>
      </c>
    </row>
    <row r="5" spans="1:5" ht="14.4" customHeight="1" x14ac:dyDescent="0.3">
      <c r="A5" s="5" t="s">
        <v>74</v>
      </c>
      <c r="B5" s="5">
        <f>COUNTIF(Fleet_Vehicle_Data!$I:$I,A5)</f>
        <v>5</v>
      </c>
      <c r="D5" s="5" t="s">
        <v>74</v>
      </c>
      <c r="E5" s="5">
        <f>COUNTIFS(Fleet_Vehicle_Data!$I:$I,D5,Fleet_Vehicle_Data!$O:$O,"&gt;4")</f>
        <v>1</v>
      </c>
    </row>
    <row r="6" spans="1:5" ht="16.8" customHeight="1" x14ac:dyDescent="0.3">
      <c r="A6" s="8" t="s">
        <v>81</v>
      </c>
      <c r="B6" s="8">
        <f>COUNTIF(Fleet_Vehicle_Data!$I:$I,A6)</f>
        <v>5</v>
      </c>
      <c r="D6" s="8" t="s">
        <v>81</v>
      </c>
      <c r="E6" s="8">
        <f>COUNTIFS(Fleet_Vehicle_Data!$I:$I,D6,Fleet_Vehicle_Data!$O:$O,"&gt;4")</f>
        <v>5</v>
      </c>
    </row>
    <row r="7" spans="1:5" x14ac:dyDescent="0.3">
      <c r="A7" s="5" t="s">
        <v>88</v>
      </c>
      <c r="B7" s="5">
        <f>COUNTIF(Fleet_Vehicle_Data!$I:$I,A7)</f>
        <v>5</v>
      </c>
      <c r="D7" s="5" t="s">
        <v>88</v>
      </c>
      <c r="E7" s="5">
        <f>COUNTIFS(Fleet_Vehicle_Data!$I:$I,D7,Fleet_Vehicle_Data!$O:$O,"&gt;4")</f>
        <v>1</v>
      </c>
    </row>
    <row r="8" spans="1:5" x14ac:dyDescent="0.3">
      <c r="A8" s="8" t="s">
        <v>92</v>
      </c>
      <c r="B8" s="8">
        <f>COUNTIF(Fleet_Vehicle_Data!$I:$I,A8)</f>
        <v>5</v>
      </c>
      <c r="D8" s="8" t="s">
        <v>92</v>
      </c>
      <c r="E8" s="8">
        <f>COUNTIFS(Fleet_Vehicle_Data!$I:$I,D8,Fleet_Vehicle_Data!$O:$O,"&gt;4")</f>
        <v>4</v>
      </c>
    </row>
    <row r="10" spans="1:5" ht="15.6" x14ac:dyDescent="0.3">
      <c r="A10" s="65" t="s">
        <v>706</v>
      </c>
      <c r="B10" s="66"/>
      <c r="D10" s="65" t="s">
        <v>705</v>
      </c>
      <c r="E10" s="66"/>
    </row>
    <row r="11" spans="1:5" ht="15.6" x14ac:dyDescent="0.3">
      <c r="A11" s="15" t="s">
        <v>691</v>
      </c>
      <c r="B11" s="15" t="s">
        <v>692</v>
      </c>
      <c r="D11" s="15" t="s">
        <v>693</v>
      </c>
      <c r="E11" s="15" t="s">
        <v>694</v>
      </c>
    </row>
    <row r="12" spans="1:5" x14ac:dyDescent="0.3">
      <c r="A12" s="5" t="s">
        <v>58</v>
      </c>
      <c r="B12" s="16">
        <f>AVERAGEIF(Fleet_Vehicle_Data!$F:$F,A12,Fleet_Vehicle_Data!$K:$K)</f>
        <v>17.033333333333335</v>
      </c>
      <c r="D12" s="5" t="s">
        <v>61</v>
      </c>
      <c r="E12" s="17">
        <f>SUMIF(Fleet_Vehicle_Data!$J:$J,D12,Fleet_Vehicle_Data!$M:$M)</f>
        <v>103200</v>
      </c>
    </row>
    <row r="13" spans="1:5" x14ac:dyDescent="0.3">
      <c r="A13" s="8" t="s">
        <v>67</v>
      </c>
      <c r="B13" s="18">
        <f>AVERAGEIF(Fleet_Vehicle_Data!$F:$F,A13,Fleet_Vehicle_Data!$K:$K)</f>
        <v>12.677777777777779</v>
      </c>
      <c r="D13" s="8" t="s">
        <v>75</v>
      </c>
      <c r="E13" s="20">
        <f>SUMIF(Fleet_Vehicle_Data!$J:$J,D13,Fleet_Vehicle_Data!$M:$M)</f>
        <v>97500</v>
      </c>
    </row>
    <row r="14" spans="1:5" x14ac:dyDescent="0.3">
      <c r="A14" s="5" t="s">
        <v>73</v>
      </c>
      <c r="B14" s="16">
        <f>AVERAGEIF(Fleet_Vehicle_Data!$F:$F,A14,Fleet_Vehicle_Data!$K:$K)</f>
        <v>22.639999999999997</v>
      </c>
      <c r="D14" s="5" t="s">
        <v>82</v>
      </c>
      <c r="E14" s="17">
        <f>SUMIF(Fleet_Vehicle_Data!$J:$J,D14,Fleet_Vehicle_Data!$M:$M)</f>
        <v>74800</v>
      </c>
    </row>
    <row r="15" spans="1:5" x14ac:dyDescent="0.3">
      <c r="A15" s="8" t="s">
        <v>80</v>
      </c>
      <c r="B15" s="19">
        <f>AVERAGEIF(Fleet_Vehicle_Data!$F:$F,A15,Fleet_Vehicle_Data!$K:$K)</f>
        <v>0</v>
      </c>
      <c r="D15" s="8" t="s">
        <v>105</v>
      </c>
      <c r="E15" s="20">
        <f>SUMIF(Fleet_Vehicle_Data!$J:$J,D15,Fleet_Vehicle_Data!$M:$M)</f>
        <v>47000</v>
      </c>
    </row>
    <row r="19" spans="1:2" ht="15.6" x14ac:dyDescent="0.3">
      <c r="A19" s="65" t="s">
        <v>697</v>
      </c>
      <c r="B19" s="66"/>
    </row>
    <row r="20" spans="1:2" ht="15.6" x14ac:dyDescent="0.3">
      <c r="A20" s="4" t="s">
        <v>695</v>
      </c>
      <c r="B20" s="24" t="s">
        <v>154</v>
      </c>
    </row>
    <row r="21" spans="1:2" x14ac:dyDescent="0.3">
      <c r="A21" s="5" t="s">
        <v>40</v>
      </c>
      <c r="B21" s="5" t="str">
        <f>IFERROR(VLOOKUP($B$20,Fleet_Vehicle_Data!$A$2:$O$31,2,FALSE),"")</f>
        <v>Tata</v>
      </c>
    </row>
    <row r="22" spans="1:2" x14ac:dyDescent="0.3">
      <c r="A22" s="8" t="s">
        <v>41</v>
      </c>
      <c r="B22" s="8" t="str">
        <f>IFERROR(VLOOKUP($B$20,Fleet_Vehicle_Data!$A$2:$O$31,3,FALSE),"")</f>
        <v>Altroz</v>
      </c>
    </row>
    <row r="23" spans="1:2" x14ac:dyDescent="0.3">
      <c r="A23" s="5" t="s">
        <v>47</v>
      </c>
      <c r="B23" s="5" t="str">
        <f>IFERROR(VLOOKUP($B$20,Fleet_Vehicle_Data!$A$2:$O$31,9,FALSE),"")</f>
        <v>Mumbai</v>
      </c>
    </row>
    <row r="24" spans="1:2" x14ac:dyDescent="0.3">
      <c r="A24" s="8" t="s">
        <v>46</v>
      </c>
      <c r="B24" s="8" t="str">
        <f>IFERROR(VLOOKUP($B$20,Fleet_Vehicle_Data!$A$2:$O$31,8,FALSE),"")</f>
        <v>Under Maintenance</v>
      </c>
    </row>
    <row r="25" spans="1:2" ht="18" customHeight="1" x14ac:dyDescent="0.3">
      <c r="A25" s="5" t="s">
        <v>696</v>
      </c>
      <c r="B25" s="23">
        <f>IFERROR(VLOOKUP($B$20,Fleet_Vehicle_Data!$A$2:$O$31,13,FALSE),"")</f>
        <v>12200</v>
      </c>
    </row>
  </sheetData>
  <mergeCells count="5">
    <mergeCell ref="A1:B1"/>
    <mergeCell ref="D1:E1"/>
    <mergeCell ref="A10:B10"/>
    <mergeCell ref="D10:E10"/>
    <mergeCell ref="A19:B19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70E4DE7-3128-4979-8904-C907E3C8CCB6}">
          <x14:formula1>
            <xm:f>Fleet_Vehicle_Data!$A$2:$A$31+$E$17</xm:f>
          </x14:formula1>
          <xm:sqref>J27</xm:sqref>
        </x14:dataValidation>
        <x14:dataValidation type="list" allowBlank="1" showInputMessage="1" showErrorMessage="1" xr:uid="{81E272F3-7E0A-4283-9CEE-3BF81CE73E24}">
          <x14:formula1>
            <xm:f>Fleet_Vehicle_Data!$A$2:$A$31</xm:f>
          </x14:formula1>
          <xm:sqref>B20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AAA7B-8E56-472E-97EE-AAA79E6BFB59}">
  <dimension ref="A1:E8"/>
  <sheetViews>
    <sheetView workbookViewId="0">
      <selection activeCell="C3" sqref="C3"/>
    </sheetView>
  </sheetViews>
  <sheetFormatPr defaultRowHeight="14.4" x14ac:dyDescent="0.3"/>
  <cols>
    <col min="1" max="1" width="22.33203125" customWidth="1"/>
    <col min="2" max="2" width="28.88671875" customWidth="1"/>
    <col min="3" max="3" width="24.44140625" customWidth="1"/>
    <col min="4" max="4" width="24.6640625" customWidth="1"/>
    <col min="5" max="5" width="40.33203125" customWidth="1"/>
  </cols>
  <sheetData>
    <row r="1" spans="1:5" ht="27.6" customHeight="1" x14ac:dyDescent="0.3">
      <c r="A1" s="65" t="s">
        <v>702</v>
      </c>
      <c r="B1" s="65"/>
      <c r="C1" s="65"/>
      <c r="D1" s="65"/>
      <c r="E1" s="65"/>
    </row>
    <row r="2" spans="1:5" ht="21.6" customHeight="1" x14ac:dyDescent="0.3">
      <c r="A2" s="4" t="s">
        <v>47</v>
      </c>
      <c r="B2" s="4" t="s">
        <v>698</v>
      </c>
      <c r="C2" s="4" t="s">
        <v>699</v>
      </c>
      <c r="D2" s="4" t="s">
        <v>700</v>
      </c>
      <c r="E2" s="4" t="s">
        <v>701</v>
      </c>
    </row>
    <row r="3" spans="1:5" x14ac:dyDescent="0.3">
      <c r="A3" s="5" t="s">
        <v>74</v>
      </c>
      <c r="B3" s="22">
        <f>SUMIFS(Trip_Data!$K:$K,Trip_Data!$E:$E,A3)/SUMIFS(Trip_Data!$G:$G,Trip_Data!$E:$E,A3)</f>
        <v>21.529793001478559</v>
      </c>
      <c r="C3" s="27">
        <f>COUNTIFS(Trip_Data!$E:$E,A3,Trip_Data!$O:$O,"Yes")/COUNTIF(Trip_Data!$E:$E,A3)</f>
        <v>0.21428571428571427</v>
      </c>
      <c r="D3" s="16">
        <f>AVERAGEIFS(Trip_Data!$M:$M,Trip_Data!$E:$E,A3)</f>
        <v>3.4727272727272722</v>
      </c>
      <c r="E3" s="22">
        <f>SUMIFS(Trip_Data!$K:$K,Trip_Data!$E:$E,A3,Trip_Data!$J:$J,"&gt;1")</f>
        <v>6799.66</v>
      </c>
    </row>
    <row r="4" spans="1:5" x14ac:dyDescent="0.3">
      <c r="A4" s="8" t="s">
        <v>92</v>
      </c>
      <c r="B4" s="29">
        <f>SUMIFS(Trip_Data!$K:$K,Trip_Data!$E:$E,A4)/SUMIFS(Trip_Data!$G:$G,Trip_Data!$E:$E,A4)</f>
        <v>19.537710529919213</v>
      </c>
      <c r="C4" s="30">
        <f>COUNTIFS(Trip_Data!$E:$E,A4,Trip_Data!$O:$O,"Yes")/COUNTIF(Trip_Data!$E:$E,A4)</f>
        <v>0.15</v>
      </c>
      <c r="D4" s="18">
        <f>AVERAGEIFS(Trip_Data!$M:$M,Trip_Data!$E:$E,A4)</f>
        <v>3.7764705882352949</v>
      </c>
      <c r="E4" s="31">
        <f>SUMIFS(Trip_Data!$K:$K,Trip_Data!$E:$E,A4,Trip_Data!$J:$J,"&gt;1")</f>
        <v>9011.9</v>
      </c>
    </row>
    <row r="5" spans="1:5" x14ac:dyDescent="0.3">
      <c r="A5" s="5" t="s">
        <v>68</v>
      </c>
      <c r="B5" s="22">
        <f>SUMIFS(Trip_Data!$K:$K,Trip_Data!$E:$E,A5)/SUMIFS(Trip_Data!$G:$G,Trip_Data!$E:$E,A5)</f>
        <v>19.725930886686314</v>
      </c>
      <c r="C5" s="27">
        <f>COUNTIFS(Trip_Data!$E:$E,A5,Trip_Data!$O:$O,"Yes")/COUNTIF(Trip_Data!$E:$E,A5)</f>
        <v>0.21739130434782608</v>
      </c>
      <c r="D5" s="16">
        <f>AVERAGEIFS(Trip_Data!$M:$M,Trip_Data!$E:$E,A5)</f>
        <v>3.8777777777777782</v>
      </c>
      <c r="E5" s="22">
        <f>SUMIFS(Trip_Data!$K:$K,Trip_Data!$E:$E,A5,Trip_Data!$J:$J,"&gt;1")</f>
        <v>10179.33</v>
      </c>
    </row>
    <row r="6" spans="1:5" x14ac:dyDescent="0.3">
      <c r="A6" s="8" t="s">
        <v>81</v>
      </c>
      <c r="B6" s="29">
        <f>SUMIFS(Trip_Data!$K:$K,Trip_Data!$E:$E,A6)/SUMIFS(Trip_Data!$G:$G,Trip_Data!$E:$E,A6)</f>
        <v>20.197524329861711</v>
      </c>
      <c r="C6" s="30">
        <f>COUNTIFS(Trip_Data!$E:$E,A6,Trip_Data!$O:$O,"Yes")/COUNTIF(Trip_Data!$E:$E,A6)</f>
        <v>0.10526315789473684</v>
      </c>
      <c r="D6" s="19">
        <f>AVERAGEIFS(Trip_Data!$M:$M,Trip_Data!$E:$E,A6)</f>
        <v>3.7235294117647064</v>
      </c>
      <c r="E6" s="31">
        <f>SUMIFS(Trip_Data!$K:$K,Trip_Data!$E:$E,A6,Trip_Data!$J:$J,"&gt;1")</f>
        <v>9391.1600000000017</v>
      </c>
    </row>
    <row r="7" spans="1:5" x14ac:dyDescent="0.3">
      <c r="A7" s="5" t="s">
        <v>60</v>
      </c>
      <c r="B7" s="22">
        <f>SUMIFS(Trip_Data!$K:$K,Trip_Data!$E:$E,A7)/SUMIFS(Trip_Data!$G:$G,Trip_Data!$E:$E,A7)</f>
        <v>21.610586061246039</v>
      </c>
      <c r="C7" s="27">
        <f>COUNTIFS(Trip_Data!$E:$E,A7,Trip_Data!$O:$O,"Yes")/COUNTIF(Trip_Data!$E:$E,A7)</f>
        <v>0.33333333333333331</v>
      </c>
      <c r="D7" s="16">
        <f>AVERAGEIFS(Trip_Data!$M:$M,Trip_Data!$E:$E,A7)</f>
        <v>3.7750000000000004</v>
      </c>
      <c r="E7" s="22">
        <f>SUMIFS(Trip_Data!$K:$K,Trip_Data!$E:$E,A7,Trip_Data!$J:$J,"&gt;1")</f>
        <v>6667.7799999999988</v>
      </c>
    </row>
    <row r="8" spans="1:5" x14ac:dyDescent="0.3">
      <c r="A8" s="8" t="s">
        <v>88</v>
      </c>
      <c r="B8" s="29">
        <f>SUMIFS(Trip_Data!$K:$K,Trip_Data!$E:$E,A8)/SUMIFS(Trip_Data!$G:$G,Trip_Data!$E:$E,A8)</f>
        <v>18.331609485368315</v>
      </c>
      <c r="C8" s="30">
        <f>COUNTIFS(Trip_Data!$E:$E,A8,Trip_Data!$O:$O,"Yes")/COUNTIF(Trip_Data!$E:$E,A8)</f>
        <v>0.25</v>
      </c>
      <c r="D8" s="19">
        <f>AVERAGEIFS(Trip_Data!$M:$M,Trip_Data!$E:$E,A8)</f>
        <v>3.933333333333334</v>
      </c>
      <c r="E8" s="31">
        <f>SUMIFS(Trip_Data!$K:$K,Trip_Data!$E:$E,A8,Trip_Data!$J:$J,"&gt;1")</f>
        <v>5280.96</v>
      </c>
    </row>
  </sheetData>
  <mergeCells count="1">
    <mergeCell ref="A1:E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A7823-F2F3-45FF-B5C4-1C9FBBE93DE0}">
  <dimension ref="A1:N100"/>
  <sheetViews>
    <sheetView zoomScale="72" workbookViewId="0">
      <selection activeCell="D100" sqref="D100"/>
    </sheetView>
  </sheetViews>
  <sheetFormatPr defaultRowHeight="14.4" x14ac:dyDescent="0.3"/>
  <cols>
    <col min="3" max="3" width="15.21875" customWidth="1"/>
    <col min="4" max="4" width="14.44140625" customWidth="1"/>
    <col min="5" max="5" width="17.33203125" customWidth="1"/>
    <col min="6" max="6" width="16.88671875" customWidth="1"/>
    <col min="7" max="7" width="13.33203125" customWidth="1"/>
    <col min="8" max="8" width="15.21875" customWidth="1"/>
    <col min="9" max="9" width="25" customWidth="1"/>
    <col min="10" max="10" width="21.44140625" customWidth="1"/>
    <col min="11" max="11" width="15.33203125" customWidth="1"/>
    <col min="12" max="12" width="25.5546875" customWidth="1"/>
    <col min="13" max="13" width="18.5546875" customWidth="1"/>
    <col min="14" max="14" width="13.109375" customWidth="1"/>
  </cols>
  <sheetData>
    <row r="1" spans="1:14" ht="24" customHeight="1" x14ac:dyDescent="0.3">
      <c r="A1" s="4" t="s">
        <v>674</v>
      </c>
      <c r="B1" s="4" t="s">
        <v>47</v>
      </c>
      <c r="C1" s="4" t="s">
        <v>48</v>
      </c>
      <c r="D1" s="4" t="s">
        <v>394</v>
      </c>
      <c r="E1" s="4" t="s">
        <v>675</v>
      </c>
      <c r="F1" s="4" t="s">
        <v>676</v>
      </c>
      <c r="G1" s="4" t="s">
        <v>677</v>
      </c>
      <c r="H1" s="4" t="s">
        <v>678</v>
      </c>
      <c r="I1" s="4" t="s">
        <v>679</v>
      </c>
      <c r="J1" s="4" t="s">
        <v>680</v>
      </c>
      <c r="K1" s="4" t="s">
        <v>681</v>
      </c>
      <c r="L1" s="32" t="s">
        <v>707</v>
      </c>
      <c r="M1" s="4" t="s">
        <v>708</v>
      </c>
      <c r="N1" s="4" t="s">
        <v>709</v>
      </c>
    </row>
    <row r="2" spans="1:14" x14ac:dyDescent="0.3">
      <c r="A2" s="5" t="s">
        <v>682</v>
      </c>
      <c r="B2" s="5" t="s">
        <v>60</v>
      </c>
      <c r="C2" s="5" t="s">
        <v>61</v>
      </c>
      <c r="D2" s="5">
        <v>96</v>
      </c>
      <c r="E2" s="5">
        <v>88</v>
      </c>
      <c r="F2" s="5">
        <v>8</v>
      </c>
      <c r="G2" s="5">
        <v>30797</v>
      </c>
      <c r="H2" s="5">
        <v>8035</v>
      </c>
      <c r="I2" s="5">
        <v>4131</v>
      </c>
      <c r="J2" s="5">
        <v>9611</v>
      </c>
      <c r="K2" s="5">
        <v>8822</v>
      </c>
      <c r="L2" s="5">
        <f>G2-H2-I2-J2</f>
        <v>9020</v>
      </c>
      <c r="M2" s="35">
        <f>L2/G2</f>
        <v>0.29288567068220933</v>
      </c>
      <c r="N2" s="11" t="str">
        <f>IF(ABS(K2-L2)&lt;=1,"OK","ERROR")</f>
        <v>ERROR</v>
      </c>
    </row>
    <row r="3" spans="1:14" x14ac:dyDescent="0.3">
      <c r="A3" s="8" t="s">
        <v>682</v>
      </c>
      <c r="B3" s="8" t="s">
        <v>60</v>
      </c>
      <c r="C3" s="8" t="s">
        <v>75</v>
      </c>
      <c r="D3" s="8">
        <v>230</v>
      </c>
      <c r="E3" s="8">
        <v>196</v>
      </c>
      <c r="F3" s="8">
        <v>34</v>
      </c>
      <c r="G3" s="8">
        <v>180685</v>
      </c>
      <c r="H3" s="8">
        <v>53274</v>
      </c>
      <c r="I3" s="8">
        <v>21007</v>
      </c>
      <c r="J3" s="8">
        <v>50788</v>
      </c>
      <c r="K3" s="8">
        <v>55504</v>
      </c>
      <c r="L3" s="8">
        <f t="shared" ref="L3:L66" si="0">G3-H3-I3-J3</f>
        <v>55616</v>
      </c>
      <c r="M3" s="35">
        <f t="shared" ref="M3:M66" si="1">L3/G3</f>
        <v>0.30780640340924814</v>
      </c>
      <c r="N3" s="11" t="str">
        <f t="shared" ref="N3:N66" si="2">IF(ABS(K3-L3)&lt;=1,"OK","ERROR")</f>
        <v>ERROR</v>
      </c>
    </row>
    <row r="4" spans="1:14" x14ac:dyDescent="0.3">
      <c r="A4" s="5" t="s">
        <v>682</v>
      </c>
      <c r="B4" s="5" t="s">
        <v>60</v>
      </c>
      <c r="C4" s="5" t="s">
        <v>82</v>
      </c>
      <c r="D4" s="5">
        <v>257</v>
      </c>
      <c r="E4" s="5">
        <v>232</v>
      </c>
      <c r="F4" s="5">
        <v>25</v>
      </c>
      <c r="G4" s="5">
        <v>213230</v>
      </c>
      <c r="H4" s="5">
        <v>45702</v>
      </c>
      <c r="I4" s="5">
        <v>22052</v>
      </c>
      <c r="J4" s="5">
        <v>62827</v>
      </c>
      <c r="K4" s="5">
        <v>82782</v>
      </c>
      <c r="L4" s="5">
        <f t="shared" si="0"/>
        <v>82649</v>
      </c>
      <c r="M4" s="35">
        <f t="shared" si="1"/>
        <v>0.38760493363973175</v>
      </c>
      <c r="N4" s="11" t="str">
        <f t="shared" si="2"/>
        <v>ERROR</v>
      </c>
    </row>
    <row r="5" spans="1:14" x14ac:dyDescent="0.3">
      <c r="A5" s="8" t="s">
        <v>682</v>
      </c>
      <c r="B5" s="8" t="s">
        <v>60</v>
      </c>
      <c r="C5" s="8" t="s">
        <v>105</v>
      </c>
      <c r="D5" s="8">
        <v>71</v>
      </c>
      <c r="E5" s="8">
        <v>65</v>
      </c>
      <c r="F5" s="8">
        <v>6</v>
      </c>
      <c r="G5" s="8">
        <v>46342</v>
      </c>
      <c r="H5" s="8">
        <v>7052</v>
      </c>
      <c r="I5" s="8">
        <v>4470</v>
      </c>
      <c r="J5" s="8">
        <v>10824</v>
      </c>
      <c r="K5" s="8">
        <v>23875</v>
      </c>
      <c r="L5" s="8">
        <f t="shared" si="0"/>
        <v>23996</v>
      </c>
      <c r="M5" s="35">
        <f t="shared" si="1"/>
        <v>0.51780242544560007</v>
      </c>
      <c r="N5" s="11" t="str">
        <f t="shared" si="2"/>
        <v>ERROR</v>
      </c>
    </row>
    <row r="6" spans="1:14" x14ac:dyDescent="0.3">
      <c r="A6" s="5" t="s">
        <v>682</v>
      </c>
      <c r="B6" s="5" t="s">
        <v>68</v>
      </c>
      <c r="C6" s="5" t="s">
        <v>61</v>
      </c>
      <c r="D6" s="5">
        <v>95</v>
      </c>
      <c r="E6" s="5">
        <v>82</v>
      </c>
      <c r="F6" s="5">
        <v>13</v>
      </c>
      <c r="G6" s="5">
        <v>69232</v>
      </c>
      <c r="H6" s="5">
        <v>14832</v>
      </c>
      <c r="I6" s="5">
        <v>5031</v>
      </c>
      <c r="J6" s="5">
        <v>15978</v>
      </c>
      <c r="K6" s="5">
        <v>33061</v>
      </c>
      <c r="L6" s="5">
        <f t="shared" si="0"/>
        <v>33391</v>
      </c>
      <c r="M6" s="35">
        <f t="shared" si="1"/>
        <v>0.48230587011786458</v>
      </c>
      <c r="N6" s="11" t="str">
        <f t="shared" si="2"/>
        <v>ERROR</v>
      </c>
    </row>
    <row r="7" spans="1:14" x14ac:dyDescent="0.3">
      <c r="A7" s="8" t="s">
        <v>682</v>
      </c>
      <c r="B7" s="8" t="s">
        <v>68</v>
      </c>
      <c r="C7" s="8" t="s">
        <v>75</v>
      </c>
      <c r="D7" s="8">
        <v>219</v>
      </c>
      <c r="E7" s="8">
        <v>188</v>
      </c>
      <c r="F7" s="8">
        <v>31</v>
      </c>
      <c r="G7" s="8">
        <v>39163</v>
      </c>
      <c r="H7" s="8">
        <v>10726</v>
      </c>
      <c r="I7" s="8">
        <v>3564</v>
      </c>
      <c r="J7" s="8">
        <v>9740</v>
      </c>
      <c r="K7" s="8">
        <v>15252</v>
      </c>
      <c r="L7" s="8">
        <f t="shared" si="0"/>
        <v>15133</v>
      </c>
      <c r="M7" s="35">
        <f t="shared" si="1"/>
        <v>0.38641064269846537</v>
      </c>
      <c r="N7" s="11" t="str">
        <f t="shared" si="2"/>
        <v>ERROR</v>
      </c>
    </row>
    <row r="8" spans="1:14" x14ac:dyDescent="0.3">
      <c r="A8" s="5" t="s">
        <v>682</v>
      </c>
      <c r="B8" s="5" t="s">
        <v>68</v>
      </c>
      <c r="C8" s="5" t="s">
        <v>82</v>
      </c>
      <c r="D8" s="5">
        <v>173</v>
      </c>
      <c r="E8" s="5">
        <v>154</v>
      </c>
      <c r="F8" s="5">
        <v>19</v>
      </c>
      <c r="G8" s="5">
        <v>57777</v>
      </c>
      <c r="H8" s="5">
        <v>10089</v>
      </c>
      <c r="I8" s="5">
        <v>4675</v>
      </c>
      <c r="J8" s="5">
        <v>12960</v>
      </c>
      <c r="K8" s="5">
        <v>29762</v>
      </c>
      <c r="L8" s="5">
        <f t="shared" si="0"/>
        <v>30053</v>
      </c>
      <c r="M8" s="35">
        <f t="shared" si="1"/>
        <v>0.52015507901067903</v>
      </c>
      <c r="N8" s="11" t="str">
        <f t="shared" si="2"/>
        <v>ERROR</v>
      </c>
    </row>
    <row r="9" spans="1:14" x14ac:dyDescent="0.3">
      <c r="A9" s="8" t="s">
        <v>682</v>
      </c>
      <c r="B9" s="8" t="s">
        <v>68</v>
      </c>
      <c r="C9" s="8" t="s">
        <v>105</v>
      </c>
      <c r="D9" s="8">
        <v>375</v>
      </c>
      <c r="E9" s="8">
        <v>362</v>
      </c>
      <c r="F9" s="8">
        <v>13</v>
      </c>
      <c r="G9" s="8">
        <v>371876</v>
      </c>
      <c r="H9" s="8">
        <v>95857</v>
      </c>
      <c r="I9" s="8">
        <v>49299</v>
      </c>
      <c r="J9" s="8">
        <v>107055</v>
      </c>
      <c r="K9" s="8">
        <v>119906</v>
      </c>
      <c r="L9" s="8">
        <f t="shared" si="0"/>
        <v>119665</v>
      </c>
      <c r="M9" s="35">
        <f t="shared" si="1"/>
        <v>0.3217873699835429</v>
      </c>
      <c r="N9" s="11" t="str">
        <f t="shared" si="2"/>
        <v>ERROR</v>
      </c>
    </row>
    <row r="10" spans="1:14" x14ac:dyDescent="0.3">
      <c r="A10" s="5" t="s">
        <v>682</v>
      </c>
      <c r="B10" s="5" t="s">
        <v>74</v>
      </c>
      <c r="C10" s="5" t="s">
        <v>61</v>
      </c>
      <c r="D10" s="5">
        <v>254</v>
      </c>
      <c r="E10" s="5">
        <v>244</v>
      </c>
      <c r="F10" s="5">
        <v>10</v>
      </c>
      <c r="G10" s="5">
        <v>110851</v>
      </c>
      <c r="H10" s="5">
        <v>30196</v>
      </c>
      <c r="I10" s="5">
        <v>13289</v>
      </c>
      <c r="J10" s="5">
        <v>27129</v>
      </c>
      <c r="K10" s="5">
        <v>40007</v>
      </c>
      <c r="L10" s="5">
        <f t="shared" si="0"/>
        <v>40237</v>
      </c>
      <c r="M10" s="35">
        <f t="shared" si="1"/>
        <v>0.36298274260042762</v>
      </c>
      <c r="N10" s="11" t="str">
        <f t="shared" si="2"/>
        <v>ERROR</v>
      </c>
    </row>
    <row r="11" spans="1:14" x14ac:dyDescent="0.3">
      <c r="A11" s="8" t="s">
        <v>682</v>
      </c>
      <c r="B11" s="8" t="s">
        <v>74</v>
      </c>
      <c r="C11" s="8" t="s">
        <v>75</v>
      </c>
      <c r="D11" s="8">
        <v>92</v>
      </c>
      <c r="E11" s="8">
        <v>81</v>
      </c>
      <c r="F11" s="8">
        <v>11</v>
      </c>
      <c r="G11" s="8">
        <v>80220</v>
      </c>
      <c r="H11" s="8">
        <v>18011</v>
      </c>
      <c r="I11" s="8">
        <v>4561</v>
      </c>
      <c r="J11" s="8">
        <v>19199</v>
      </c>
      <c r="K11" s="8">
        <v>38304</v>
      </c>
      <c r="L11" s="8">
        <f t="shared" si="0"/>
        <v>38449</v>
      </c>
      <c r="M11" s="35">
        <f t="shared" si="1"/>
        <v>0.4792944402892047</v>
      </c>
      <c r="N11" s="11" t="str">
        <f t="shared" si="2"/>
        <v>ERROR</v>
      </c>
    </row>
    <row r="12" spans="1:14" x14ac:dyDescent="0.3">
      <c r="A12" s="5" t="s">
        <v>682</v>
      </c>
      <c r="B12" s="5" t="s">
        <v>74</v>
      </c>
      <c r="C12" s="5" t="s">
        <v>82</v>
      </c>
      <c r="D12" s="5">
        <v>193</v>
      </c>
      <c r="E12" s="5">
        <v>181</v>
      </c>
      <c r="F12" s="5">
        <v>12</v>
      </c>
      <c r="G12" s="5">
        <v>107202</v>
      </c>
      <c r="H12" s="5">
        <v>22884</v>
      </c>
      <c r="I12" s="5">
        <v>11687</v>
      </c>
      <c r="J12" s="5">
        <v>31661</v>
      </c>
      <c r="K12" s="5">
        <v>40527</v>
      </c>
      <c r="L12" s="5">
        <f t="shared" si="0"/>
        <v>40970</v>
      </c>
      <c r="M12" s="35">
        <f t="shared" si="1"/>
        <v>0.38217570567713288</v>
      </c>
      <c r="N12" s="11" t="str">
        <f t="shared" si="2"/>
        <v>ERROR</v>
      </c>
    </row>
    <row r="13" spans="1:14" x14ac:dyDescent="0.3">
      <c r="A13" s="8" t="s">
        <v>682</v>
      </c>
      <c r="B13" s="8" t="s">
        <v>74</v>
      </c>
      <c r="C13" s="8" t="s">
        <v>105</v>
      </c>
      <c r="D13" s="8">
        <v>171</v>
      </c>
      <c r="E13" s="8">
        <v>146</v>
      </c>
      <c r="F13" s="8">
        <v>25</v>
      </c>
      <c r="G13" s="8">
        <v>135331</v>
      </c>
      <c r="H13" s="8">
        <v>27512</v>
      </c>
      <c r="I13" s="8">
        <v>12431</v>
      </c>
      <c r="J13" s="8">
        <v>41376</v>
      </c>
      <c r="K13" s="8">
        <v>54074</v>
      </c>
      <c r="L13" s="8">
        <f t="shared" si="0"/>
        <v>54012</v>
      </c>
      <c r="M13" s="35">
        <f t="shared" si="1"/>
        <v>0.39911032948843944</v>
      </c>
      <c r="N13" s="11" t="str">
        <f t="shared" si="2"/>
        <v>ERROR</v>
      </c>
    </row>
    <row r="14" spans="1:14" x14ac:dyDescent="0.3">
      <c r="A14" s="5" t="s">
        <v>682</v>
      </c>
      <c r="B14" s="5" t="s">
        <v>81</v>
      </c>
      <c r="C14" s="5" t="s">
        <v>61</v>
      </c>
      <c r="D14" s="5">
        <v>377</v>
      </c>
      <c r="E14" s="5">
        <v>372</v>
      </c>
      <c r="F14" s="5">
        <v>5</v>
      </c>
      <c r="G14" s="5">
        <v>87624</v>
      </c>
      <c r="H14" s="5">
        <v>22509</v>
      </c>
      <c r="I14" s="5">
        <v>6134</v>
      </c>
      <c r="J14" s="5">
        <v>21829</v>
      </c>
      <c r="K14" s="5">
        <v>37183</v>
      </c>
      <c r="L14" s="5">
        <f t="shared" si="0"/>
        <v>37152</v>
      </c>
      <c r="M14" s="35">
        <f t="shared" si="1"/>
        <v>0.42399342645850452</v>
      </c>
      <c r="N14" s="11" t="str">
        <f t="shared" si="2"/>
        <v>ERROR</v>
      </c>
    </row>
    <row r="15" spans="1:14" x14ac:dyDescent="0.3">
      <c r="A15" s="8" t="s">
        <v>682</v>
      </c>
      <c r="B15" s="8" t="s">
        <v>81</v>
      </c>
      <c r="C15" s="8" t="s">
        <v>75</v>
      </c>
      <c r="D15" s="8">
        <v>320</v>
      </c>
      <c r="E15" s="8">
        <v>290</v>
      </c>
      <c r="F15" s="8">
        <v>30</v>
      </c>
      <c r="G15" s="8">
        <v>135634</v>
      </c>
      <c r="H15" s="8">
        <v>30316</v>
      </c>
      <c r="I15" s="8">
        <v>15718</v>
      </c>
      <c r="J15" s="8">
        <v>44604</v>
      </c>
      <c r="K15" s="8">
        <v>44680</v>
      </c>
      <c r="L15" s="8">
        <f t="shared" si="0"/>
        <v>44996</v>
      </c>
      <c r="M15" s="35">
        <f t="shared" si="1"/>
        <v>0.33174572747246267</v>
      </c>
      <c r="N15" s="11" t="str">
        <f t="shared" si="2"/>
        <v>ERROR</v>
      </c>
    </row>
    <row r="16" spans="1:14" x14ac:dyDescent="0.3">
      <c r="A16" s="5" t="s">
        <v>682</v>
      </c>
      <c r="B16" s="5" t="s">
        <v>81</v>
      </c>
      <c r="C16" s="5" t="s">
        <v>82</v>
      </c>
      <c r="D16" s="5">
        <v>156</v>
      </c>
      <c r="E16" s="5">
        <v>140</v>
      </c>
      <c r="F16" s="5">
        <v>16</v>
      </c>
      <c r="G16" s="5">
        <v>90362</v>
      </c>
      <c r="H16" s="5">
        <v>22325</v>
      </c>
      <c r="I16" s="5">
        <v>4611</v>
      </c>
      <c r="J16" s="5">
        <v>31427</v>
      </c>
      <c r="K16" s="5">
        <v>32057</v>
      </c>
      <c r="L16" s="5">
        <f t="shared" si="0"/>
        <v>31999</v>
      </c>
      <c r="M16" s="35">
        <f t="shared" si="1"/>
        <v>0.35412009473008565</v>
      </c>
      <c r="N16" s="11" t="str">
        <f t="shared" si="2"/>
        <v>ERROR</v>
      </c>
    </row>
    <row r="17" spans="1:14" x14ac:dyDescent="0.3">
      <c r="A17" s="8" t="s">
        <v>682</v>
      </c>
      <c r="B17" s="8" t="s">
        <v>81</v>
      </c>
      <c r="C17" s="8" t="s">
        <v>105</v>
      </c>
      <c r="D17" s="8">
        <v>354</v>
      </c>
      <c r="E17" s="8">
        <v>317</v>
      </c>
      <c r="F17" s="8">
        <v>37</v>
      </c>
      <c r="G17" s="8">
        <v>144039</v>
      </c>
      <c r="H17" s="8">
        <v>31979</v>
      </c>
      <c r="I17" s="8">
        <v>16456</v>
      </c>
      <c r="J17" s="8">
        <v>37719</v>
      </c>
      <c r="K17" s="8">
        <v>57507</v>
      </c>
      <c r="L17" s="8">
        <f t="shared" si="0"/>
        <v>57885</v>
      </c>
      <c r="M17" s="35">
        <f t="shared" si="1"/>
        <v>0.40187032678649531</v>
      </c>
      <c r="N17" s="11" t="str">
        <f t="shared" si="2"/>
        <v>ERROR</v>
      </c>
    </row>
    <row r="18" spans="1:14" x14ac:dyDescent="0.3">
      <c r="A18" s="5" t="s">
        <v>682</v>
      </c>
      <c r="B18" s="5" t="s">
        <v>88</v>
      </c>
      <c r="C18" s="5" t="s">
        <v>61</v>
      </c>
      <c r="D18" s="5">
        <v>150</v>
      </c>
      <c r="E18" s="5">
        <v>136</v>
      </c>
      <c r="F18" s="5">
        <v>14</v>
      </c>
      <c r="G18" s="5">
        <v>146028</v>
      </c>
      <c r="H18" s="5">
        <v>26409</v>
      </c>
      <c r="I18" s="5">
        <v>14811</v>
      </c>
      <c r="J18" s="5">
        <v>44781</v>
      </c>
      <c r="K18" s="5">
        <v>59748</v>
      </c>
      <c r="L18" s="5">
        <f t="shared" si="0"/>
        <v>60027</v>
      </c>
      <c r="M18" s="35">
        <f t="shared" si="1"/>
        <v>0.41106500123264034</v>
      </c>
      <c r="N18" s="11" t="str">
        <f t="shared" si="2"/>
        <v>ERROR</v>
      </c>
    </row>
    <row r="19" spans="1:14" x14ac:dyDescent="0.3">
      <c r="A19" s="8" t="s">
        <v>682</v>
      </c>
      <c r="B19" s="8" t="s">
        <v>88</v>
      </c>
      <c r="C19" s="8" t="s">
        <v>75</v>
      </c>
      <c r="D19" s="8">
        <v>463</v>
      </c>
      <c r="E19" s="8">
        <v>398</v>
      </c>
      <c r="F19" s="8">
        <v>65</v>
      </c>
      <c r="G19" s="8">
        <v>323687</v>
      </c>
      <c r="H19" s="8">
        <v>85934</v>
      </c>
      <c r="I19" s="8">
        <v>41560</v>
      </c>
      <c r="J19" s="8">
        <v>66005</v>
      </c>
      <c r="K19" s="8">
        <v>130126</v>
      </c>
      <c r="L19" s="8">
        <f t="shared" si="0"/>
        <v>130188</v>
      </c>
      <c r="M19" s="35">
        <f t="shared" si="1"/>
        <v>0.40220336312548849</v>
      </c>
      <c r="N19" s="11" t="str">
        <f t="shared" si="2"/>
        <v>ERROR</v>
      </c>
    </row>
    <row r="20" spans="1:14" x14ac:dyDescent="0.3">
      <c r="A20" s="5" t="s">
        <v>682</v>
      </c>
      <c r="B20" s="5" t="s">
        <v>88</v>
      </c>
      <c r="C20" s="5" t="s">
        <v>82</v>
      </c>
      <c r="D20" s="5">
        <v>97</v>
      </c>
      <c r="E20" s="5">
        <v>86</v>
      </c>
      <c r="F20" s="5">
        <v>11</v>
      </c>
      <c r="G20" s="5">
        <v>47696</v>
      </c>
      <c r="H20" s="5">
        <v>11083</v>
      </c>
      <c r="I20" s="5">
        <v>7123</v>
      </c>
      <c r="J20" s="5">
        <v>15445</v>
      </c>
      <c r="K20" s="5">
        <v>13621</v>
      </c>
      <c r="L20" s="5">
        <f t="shared" si="0"/>
        <v>14045</v>
      </c>
      <c r="M20" s="35">
        <f t="shared" si="1"/>
        <v>0.2944691378731969</v>
      </c>
      <c r="N20" s="11" t="str">
        <f t="shared" si="2"/>
        <v>ERROR</v>
      </c>
    </row>
    <row r="21" spans="1:14" x14ac:dyDescent="0.3">
      <c r="A21" s="8" t="s">
        <v>682</v>
      </c>
      <c r="B21" s="8" t="s">
        <v>88</v>
      </c>
      <c r="C21" s="8" t="s">
        <v>105</v>
      </c>
      <c r="D21" s="8">
        <v>479</v>
      </c>
      <c r="E21" s="8">
        <v>457</v>
      </c>
      <c r="F21" s="8">
        <v>22</v>
      </c>
      <c r="G21" s="8">
        <v>289992</v>
      </c>
      <c r="H21" s="8">
        <v>44590</v>
      </c>
      <c r="I21" s="8">
        <v>36383</v>
      </c>
      <c r="J21" s="8">
        <v>89578</v>
      </c>
      <c r="K21" s="8">
        <v>119596</v>
      </c>
      <c r="L21" s="8">
        <f t="shared" si="0"/>
        <v>119441</v>
      </c>
      <c r="M21" s="35">
        <f t="shared" si="1"/>
        <v>0.41187687936218931</v>
      </c>
      <c r="N21" s="11" t="str">
        <f t="shared" si="2"/>
        <v>ERROR</v>
      </c>
    </row>
    <row r="22" spans="1:14" x14ac:dyDescent="0.3">
      <c r="A22" s="5" t="s">
        <v>682</v>
      </c>
      <c r="B22" s="5" t="s">
        <v>92</v>
      </c>
      <c r="C22" s="5" t="s">
        <v>61</v>
      </c>
      <c r="D22" s="5">
        <v>469</v>
      </c>
      <c r="E22" s="5">
        <v>430</v>
      </c>
      <c r="F22" s="5">
        <v>39</v>
      </c>
      <c r="G22" s="5">
        <v>405150</v>
      </c>
      <c r="H22" s="5">
        <v>103458</v>
      </c>
      <c r="I22" s="5">
        <v>22235</v>
      </c>
      <c r="J22" s="5">
        <v>120259</v>
      </c>
      <c r="K22" s="5">
        <v>159335</v>
      </c>
      <c r="L22" s="5">
        <f t="shared" si="0"/>
        <v>159198</v>
      </c>
      <c r="M22" s="35">
        <f t="shared" si="1"/>
        <v>0.39293594964827844</v>
      </c>
      <c r="N22" s="11" t="str">
        <f t="shared" si="2"/>
        <v>ERROR</v>
      </c>
    </row>
    <row r="23" spans="1:14" x14ac:dyDescent="0.3">
      <c r="A23" s="8" t="s">
        <v>682</v>
      </c>
      <c r="B23" s="8" t="s">
        <v>92</v>
      </c>
      <c r="C23" s="8" t="s">
        <v>75</v>
      </c>
      <c r="D23" s="8">
        <v>85</v>
      </c>
      <c r="E23" s="8">
        <v>74</v>
      </c>
      <c r="F23" s="8">
        <v>11</v>
      </c>
      <c r="G23" s="8">
        <v>54785</v>
      </c>
      <c r="H23" s="8">
        <v>10207</v>
      </c>
      <c r="I23" s="8">
        <v>2858</v>
      </c>
      <c r="J23" s="8">
        <v>14623</v>
      </c>
      <c r="K23" s="8">
        <v>26634</v>
      </c>
      <c r="L23" s="8">
        <f t="shared" si="0"/>
        <v>27097</v>
      </c>
      <c r="M23" s="35">
        <f t="shared" si="1"/>
        <v>0.4946061878251346</v>
      </c>
      <c r="N23" s="11" t="str">
        <f t="shared" si="2"/>
        <v>ERROR</v>
      </c>
    </row>
    <row r="24" spans="1:14" x14ac:dyDescent="0.3">
      <c r="A24" s="5" t="s">
        <v>682</v>
      </c>
      <c r="B24" s="5" t="s">
        <v>92</v>
      </c>
      <c r="C24" s="5" t="s">
        <v>82</v>
      </c>
      <c r="D24" s="5">
        <v>269</v>
      </c>
      <c r="E24" s="5">
        <v>264</v>
      </c>
      <c r="F24" s="5">
        <v>5</v>
      </c>
      <c r="G24" s="5">
        <v>269136</v>
      </c>
      <c r="H24" s="5">
        <v>60657</v>
      </c>
      <c r="I24" s="5">
        <v>34584</v>
      </c>
      <c r="J24" s="5">
        <v>62889</v>
      </c>
      <c r="K24" s="5">
        <v>110655</v>
      </c>
      <c r="L24" s="5">
        <f t="shared" si="0"/>
        <v>111006</v>
      </c>
      <c r="M24" s="35">
        <f t="shared" si="1"/>
        <v>0.41245318352059923</v>
      </c>
      <c r="N24" s="11" t="str">
        <f t="shared" si="2"/>
        <v>ERROR</v>
      </c>
    </row>
    <row r="25" spans="1:14" x14ac:dyDescent="0.3">
      <c r="A25" s="8" t="s">
        <v>682</v>
      </c>
      <c r="B25" s="8" t="s">
        <v>92</v>
      </c>
      <c r="C25" s="8" t="s">
        <v>105</v>
      </c>
      <c r="D25" s="8">
        <v>485</v>
      </c>
      <c r="E25" s="8">
        <v>444</v>
      </c>
      <c r="F25" s="8">
        <v>41</v>
      </c>
      <c r="G25" s="8">
        <v>328275</v>
      </c>
      <c r="H25" s="8">
        <v>82380</v>
      </c>
      <c r="I25" s="8">
        <v>32854</v>
      </c>
      <c r="J25" s="8">
        <v>78822</v>
      </c>
      <c r="K25" s="8">
        <v>134410</v>
      </c>
      <c r="L25" s="8">
        <f t="shared" si="0"/>
        <v>134219</v>
      </c>
      <c r="M25" s="35">
        <f t="shared" si="1"/>
        <v>0.40886147285050645</v>
      </c>
      <c r="N25" s="11" t="str">
        <f t="shared" si="2"/>
        <v>ERROR</v>
      </c>
    </row>
    <row r="26" spans="1:14" x14ac:dyDescent="0.3">
      <c r="A26" s="5" t="s">
        <v>683</v>
      </c>
      <c r="B26" s="5" t="s">
        <v>60</v>
      </c>
      <c r="C26" s="5" t="s">
        <v>61</v>
      </c>
      <c r="D26" s="5">
        <v>253</v>
      </c>
      <c r="E26" s="5">
        <v>218</v>
      </c>
      <c r="F26" s="5">
        <v>35</v>
      </c>
      <c r="G26" s="5">
        <v>163741</v>
      </c>
      <c r="H26" s="5">
        <v>32380</v>
      </c>
      <c r="I26" s="5">
        <v>10177</v>
      </c>
      <c r="J26" s="5">
        <v>57020</v>
      </c>
      <c r="K26" s="5">
        <v>63770</v>
      </c>
      <c r="L26" s="5">
        <f t="shared" si="0"/>
        <v>64164</v>
      </c>
      <c r="M26" s="35">
        <f t="shared" si="1"/>
        <v>0.39186275886918975</v>
      </c>
      <c r="N26" s="11" t="str">
        <f t="shared" si="2"/>
        <v>ERROR</v>
      </c>
    </row>
    <row r="27" spans="1:14" x14ac:dyDescent="0.3">
      <c r="A27" s="8" t="s">
        <v>683</v>
      </c>
      <c r="B27" s="8" t="s">
        <v>60</v>
      </c>
      <c r="C27" s="8" t="s">
        <v>75</v>
      </c>
      <c r="D27" s="8">
        <v>355</v>
      </c>
      <c r="E27" s="8">
        <v>348</v>
      </c>
      <c r="F27" s="8">
        <v>7</v>
      </c>
      <c r="G27" s="8">
        <v>290272</v>
      </c>
      <c r="H27" s="8">
        <v>85229</v>
      </c>
      <c r="I27" s="8">
        <v>23276</v>
      </c>
      <c r="J27" s="8">
        <v>68239</v>
      </c>
      <c r="K27" s="8">
        <v>113201</v>
      </c>
      <c r="L27" s="8">
        <f t="shared" si="0"/>
        <v>113528</v>
      </c>
      <c r="M27" s="35">
        <f t="shared" si="1"/>
        <v>0.3911090287730129</v>
      </c>
      <c r="N27" s="11" t="str">
        <f t="shared" si="2"/>
        <v>ERROR</v>
      </c>
    </row>
    <row r="28" spans="1:14" x14ac:dyDescent="0.3">
      <c r="A28" s="5" t="s">
        <v>683</v>
      </c>
      <c r="B28" s="5" t="s">
        <v>60</v>
      </c>
      <c r="C28" s="5" t="s">
        <v>82</v>
      </c>
      <c r="D28" s="5">
        <v>383</v>
      </c>
      <c r="E28" s="5">
        <v>373</v>
      </c>
      <c r="F28" s="5">
        <v>10</v>
      </c>
      <c r="G28" s="5">
        <v>254094</v>
      </c>
      <c r="H28" s="5">
        <v>65178</v>
      </c>
      <c r="I28" s="5">
        <v>24051</v>
      </c>
      <c r="J28" s="5">
        <v>51873</v>
      </c>
      <c r="K28" s="5">
        <v>113482</v>
      </c>
      <c r="L28" s="5">
        <f t="shared" si="0"/>
        <v>112992</v>
      </c>
      <c r="M28" s="35">
        <f t="shared" si="1"/>
        <v>0.44468582493093106</v>
      </c>
      <c r="N28" s="11" t="str">
        <f t="shared" si="2"/>
        <v>ERROR</v>
      </c>
    </row>
    <row r="29" spans="1:14" x14ac:dyDescent="0.3">
      <c r="A29" s="8" t="s">
        <v>683</v>
      </c>
      <c r="B29" s="8" t="s">
        <v>60</v>
      </c>
      <c r="C29" s="8" t="s">
        <v>105</v>
      </c>
      <c r="D29" s="8">
        <v>245</v>
      </c>
      <c r="E29" s="8">
        <v>236</v>
      </c>
      <c r="F29" s="8">
        <v>9</v>
      </c>
      <c r="G29" s="8">
        <v>234220</v>
      </c>
      <c r="H29" s="8">
        <v>40145</v>
      </c>
      <c r="I29" s="8">
        <v>23127</v>
      </c>
      <c r="J29" s="8">
        <v>48040</v>
      </c>
      <c r="K29" s="8">
        <v>123210</v>
      </c>
      <c r="L29" s="8">
        <f t="shared" si="0"/>
        <v>122908</v>
      </c>
      <c r="M29" s="35">
        <f t="shared" si="1"/>
        <v>0.52475450431218518</v>
      </c>
      <c r="N29" s="11" t="str">
        <f t="shared" si="2"/>
        <v>ERROR</v>
      </c>
    </row>
    <row r="30" spans="1:14" x14ac:dyDescent="0.3">
      <c r="A30" s="5" t="s">
        <v>683</v>
      </c>
      <c r="B30" s="5" t="s">
        <v>68</v>
      </c>
      <c r="C30" s="5" t="s">
        <v>61</v>
      </c>
      <c r="D30" s="5">
        <v>430</v>
      </c>
      <c r="E30" s="5">
        <v>418</v>
      </c>
      <c r="F30" s="5">
        <v>12</v>
      </c>
      <c r="G30" s="5">
        <v>113759</v>
      </c>
      <c r="H30" s="5">
        <v>18184</v>
      </c>
      <c r="I30" s="5">
        <v>12590</v>
      </c>
      <c r="J30" s="5">
        <v>32731</v>
      </c>
      <c r="K30" s="5">
        <v>50327</v>
      </c>
      <c r="L30" s="5">
        <f t="shared" si="0"/>
        <v>50254</v>
      </c>
      <c r="M30" s="35">
        <f t="shared" si="1"/>
        <v>0.44175845427614518</v>
      </c>
      <c r="N30" s="11" t="str">
        <f t="shared" si="2"/>
        <v>ERROR</v>
      </c>
    </row>
    <row r="31" spans="1:14" x14ac:dyDescent="0.3">
      <c r="A31" s="8" t="s">
        <v>683</v>
      </c>
      <c r="B31" s="8" t="s">
        <v>68</v>
      </c>
      <c r="C31" s="8" t="s">
        <v>75</v>
      </c>
      <c r="D31" s="8">
        <v>292</v>
      </c>
      <c r="E31" s="8">
        <v>268</v>
      </c>
      <c r="F31" s="8">
        <v>24</v>
      </c>
      <c r="G31" s="8">
        <v>316405</v>
      </c>
      <c r="H31" s="8">
        <v>82431</v>
      </c>
      <c r="I31" s="8">
        <v>22577</v>
      </c>
      <c r="J31" s="8">
        <v>106702</v>
      </c>
      <c r="K31" s="8">
        <v>105131</v>
      </c>
      <c r="L31" s="8">
        <f t="shared" si="0"/>
        <v>104695</v>
      </c>
      <c r="M31" s="35">
        <f t="shared" si="1"/>
        <v>0.33088920845119391</v>
      </c>
      <c r="N31" s="11" t="str">
        <f t="shared" si="2"/>
        <v>ERROR</v>
      </c>
    </row>
    <row r="32" spans="1:14" x14ac:dyDescent="0.3">
      <c r="A32" s="5" t="s">
        <v>683</v>
      </c>
      <c r="B32" s="5" t="s">
        <v>68</v>
      </c>
      <c r="C32" s="5" t="s">
        <v>82</v>
      </c>
      <c r="D32" s="5">
        <v>369</v>
      </c>
      <c r="E32" s="5">
        <v>339</v>
      </c>
      <c r="F32" s="5">
        <v>30</v>
      </c>
      <c r="G32" s="5">
        <v>314741</v>
      </c>
      <c r="H32" s="5">
        <v>87684</v>
      </c>
      <c r="I32" s="5">
        <v>20173</v>
      </c>
      <c r="J32" s="5">
        <v>78842</v>
      </c>
      <c r="K32" s="5">
        <v>128276</v>
      </c>
      <c r="L32" s="5">
        <f t="shared" si="0"/>
        <v>128042</v>
      </c>
      <c r="M32" s="35">
        <f t="shared" si="1"/>
        <v>0.40681703368801647</v>
      </c>
      <c r="N32" s="11" t="str">
        <f t="shared" si="2"/>
        <v>ERROR</v>
      </c>
    </row>
    <row r="33" spans="1:14" x14ac:dyDescent="0.3">
      <c r="A33" s="8" t="s">
        <v>683</v>
      </c>
      <c r="B33" s="8" t="s">
        <v>68</v>
      </c>
      <c r="C33" s="8" t="s">
        <v>105</v>
      </c>
      <c r="D33" s="8">
        <v>294</v>
      </c>
      <c r="E33" s="8">
        <v>288</v>
      </c>
      <c r="F33" s="8">
        <v>6</v>
      </c>
      <c r="G33" s="8">
        <v>279170</v>
      </c>
      <c r="H33" s="8">
        <v>82688</v>
      </c>
      <c r="I33" s="8">
        <v>34179</v>
      </c>
      <c r="J33" s="8">
        <v>80538</v>
      </c>
      <c r="K33" s="8">
        <v>81988</v>
      </c>
      <c r="L33" s="8">
        <f t="shared" si="0"/>
        <v>81765</v>
      </c>
      <c r="M33" s="35">
        <f t="shared" si="1"/>
        <v>0.29288605509187948</v>
      </c>
      <c r="N33" s="11" t="str">
        <f t="shared" si="2"/>
        <v>ERROR</v>
      </c>
    </row>
    <row r="34" spans="1:14" x14ac:dyDescent="0.3">
      <c r="A34" s="5" t="s">
        <v>683</v>
      </c>
      <c r="B34" s="5" t="s">
        <v>74</v>
      </c>
      <c r="C34" s="5" t="s">
        <v>61</v>
      </c>
      <c r="D34" s="5">
        <v>394</v>
      </c>
      <c r="E34" s="5">
        <v>383</v>
      </c>
      <c r="F34" s="5">
        <v>11</v>
      </c>
      <c r="G34" s="5">
        <v>316304</v>
      </c>
      <c r="H34" s="5">
        <v>74305</v>
      </c>
      <c r="I34" s="5">
        <v>35202</v>
      </c>
      <c r="J34" s="5">
        <v>78689</v>
      </c>
      <c r="K34" s="5">
        <v>128545</v>
      </c>
      <c r="L34" s="5">
        <f t="shared" si="0"/>
        <v>128108</v>
      </c>
      <c r="M34" s="35">
        <f t="shared" si="1"/>
        <v>0.40501542819565989</v>
      </c>
      <c r="N34" s="11" t="str">
        <f t="shared" si="2"/>
        <v>ERROR</v>
      </c>
    </row>
    <row r="35" spans="1:14" x14ac:dyDescent="0.3">
      <c r="A35" s="8" t="s">
        <v>683</v>
      </c>
      <c r="B35" s="8" t="s">
        <v>74</v>
      </c>
      <c r="C35" s="8" t="s">
        <v>75</v>
      </c>
      <c r="D35" s="8">
        <v>203</v>
      </c>
      <c r="E35" s="8">
        <v>190</v>
      </c>
      <c r="F35" s="8">
        <v>13</v>
      </c>
      <c r="G35" s="8">
        <v>149562</v>
      </c>
      <c r="H35" s="8">
        <v>28359</v>
      </c>
      <c r="I35" s="8">
        <v>14631</v>
      </c>
      <c r="J35" s="8">
        <v>32155</v>
      </c>
      <c r="K35" s="8">
        <v>74268</v>
      </c>
      <c r="L35" s="8">
        <f t="shared" si="0"/>
        <v>74417</v>
      </c>
      <c r="M35" s="35">
        <f t="shared" si="1"/>
        <v>0.49756622671534212</v>
      </c>
      <c r="N35" s="11" t="str">
        <f t="shared" si="2"/>
        <v>ERROR</v>
      </c>
    </row>
    <row r="36" spans="1:14" x14ac:dyDescent="0.3">
      <c r="A36" s="5" t="s">
        <v>683</v>
      </c>
      <c r="B36" s="5" t="s">
        <v>74</v>
      </c>
      <c r="C36" s="5" t="s">
        <v>82</v>
      </c>
      <c r="D36" s="5">
        <v>444</v>
      </c>
      <c r="E36" s="5">
        <v>425</v>
      </c>
      <c r="F36" s="5">
        <v>19</v>
      </c>
      <c r="G36" s="5">
        <v>133541</v>
      </c>
      <c r="H36" s="5">
        <v>32365</v>
      </c>
      <c r="I36" s="5">
        <v>8469</v>
      </c>
      <c r="J36" s="5">
        <v>26863</v>
      </c>
      <c r="K36" s="5">
        <v>65726</v>
      </c>
      <c r="L36" s="5">
        <f t="shared" si="0"/>
        <v>65844</v>
      </c>
      <c r="M36" s="35">
        <f t="shared" si="1"/>
        <v>0.49306205584801671</v>
      </c>
      <c r="N36" s="11" t="str">
        <f t="shared" si="2"/>
        <v>ERROR</v>
      </c>
    </row>
    <row r="37" spans="1:14" x14ac:dyDescent="0.3">
      <c r="A37" s="8" t="s">
        <v>683</v>
      </c>
      <c r="B37" s="8" t="s">
        <v>74</v>
      </c>
      <c r="C37" s="8" t="s">
        <v>105</v>
      </c>
      <c r="D37" s="8">
        <v>334</v>
      </c>
      <c r="E37" s="8">
        <v>319</v>
      </c>
      <c r="F37" s="8">
        <v>15</v>
      </c>
      <c r="G37" s="8">
        <v>264758</v>
      </c>
      <c r="H37" s="8">
        <v>43984</v>
      </c>
      <c r="I37" s="8">
        <v>34359</v>
      </c>
      <c r="J37" s="8">
        <v>83123</v>
      </c>
      <c r="K37" s="8">
        <v>103622</v>
      </c>
      <c r="L37" s="8">
        <f t="shared" si="0"/>
        <v>103292</v>
      </c>
      <c r="M37" s="35">
        <f t="shared" si="1"/>
        <v>0.39013740850134843</v>
      </c>
      <c r="N37" s="11" t="str">
        <f t="shared" si="2"/>
        <v>ERROR</v>
      </c>
    </row>
    <row r="38" spans="1:14" x14ac:dyDescent="0.3">
      <c r="A38" s="5" t="s">
        <v>683</v>
      </c>
      <c r="B38" s="5" t="s">
        <v>81</v>
      </c>
      <c r="C38" s="5" t="s">
        <v>61</v>
      </c>
      <c r="D38" s="5">
        <v>449</v>
      </c>
      <c r="E38" s="5">
        <v>394</v>
      </c>
      <c r="F38" s="5">
        <v>55</v>
      </c>
      <c r="G38" s="5">
        <v>114776</v>
      </c>
      <c r="H38" s="5">
        <v>21170</v>
      </c>
      <c r="I38" s="5">
        <v>5941</v>
      </c>
      <c r="J38" s="5">
        <v>34240</v>
      </c>
      <c r="K38" s="5">
        <v>52928</v>
      </c>
      <c r="L38" s="5">
        <f t="shared" si="0"/>
        <v>53425</v>
      </c>
      <c r="M38" s="35">
        <f t="shared" si="1"/>
        <v>0.46547187565344672</v>
      </c>
      <c r="N38" s="11" t="str">
        <f t="shared" si="2"/>
        <v>ERROR</v>
      </c>
    </row>
    <row r="39" spans="1:14" x14ac:dyDescent="0.3">
      <c r="A39" s="8" t="s">
        <v>683</v>
      </c>
      <c r="B39" s="8" t="s">
        <v>81</v>
      </c>
      <c r="C39" s="8" t="s">
        <v>75</v>
      </c>
      <c r="D39" s="8">
        <v>351</v>
      </c>
      <c r="E39" s="8">
        <v>299</v>
      </c>
      <c r="F39" s="8">
        <v>52</v>
      </c>
      <c r="G39" s="8">
        <v>201072</v>
      </c>
      <c r="H39" s="8">
        <v>40065</v>
      </c>
      <c r="I39" s="8">
        <v>14878</v>
      </c>
      <c r="J39" s="8">
        <v>56830</v>
      </c>
      <c r="K39" s="8">
        <v>89166</v>
      </c>
      <c r="L39" s="8">
        <f t="shared" si="0"/>
        <v>89299</v>
      </c>
      <c r="M39" s="35">
        <f t="shared" si="1"/>
        <v>0.44411454603326173</v>
      </c>
      <c r="N39" s="11" t="str">
        <f t="shared" si="2"/>
        <v>ERROR</v>
      </c>
    </row>
    <row r="40" spans="1:14" x14ac:dyDescent="0.3">
      <c r="A40" s="5" t="s">
        <v>683</v>
      </c>
      <c r="B40" s="5" t="s">
        <v>81</v>
      </c>
      <c r="C40" s="5" t="s">
        <v>82</v>
      </c>
      <c r="D40" s="5">
        <v>330</v>
      </c>
      <c r="E40" s="5">
        <v>293</v>
      </c>
      <c r="F40" s="5">
        <v>37</v>
      </c>
      <c r="G40" s="5">
        <v>154823</v>
      </c>
      <c r="H40" s="5">
        <v>24800</v>
      </c>
      <c r="I40" s="5">
        <v>8012</v>
      </c>
      <c r="J40" s="5">
        <v>48281</v>
      </c>
      <c r="K40" s="5">
        <v>73624</v>
      </c>
      <c r="L40" s="5">
        <f t="shared" si="0"/>
        <v>73730</v>
      </c>
      <c r="M40" s="35">
        <f t="shared" si="1"/>
        <v>0.47622123327929311</v>
      </c>
      <c r="N40" s="11" t="str">
        <f t="shared" si="2"/>
        <v>ERROR</v>
      </c>
    </row>
    <row r="41" spans="1:14" x14ac:dyDescent="0.3">
      <c r="A41" s="8" t="s">
        <v>683</v>
      </c>
      <c r="B41" s="8" t="s">
        <v>81</v>
      </c>
      <c r="C41" s="8" t="s">
        <v>105</v>
      </c>
      <c r="D41" s="8">
        <v>366</v>
      </c>
      <c r="E41" s="8">
        <v>346</v>
      </c>
      <c r="F41" s="8">
        <v>20</v>
      </c>
      <c r="G41" s="8">
        <v>71735</v>
      </c>
      <c r="H41" s="8">
        <v>18439</v>
      </c>
      <c r="I41" s="8">
        <v>5735</v>
      </c>
      <c r="J41" s="8">
        <v>17548</v>
      </c>
      <c r="K41" s="8">
        <v>29513</v>
      </c>
      <c r="L41" s="8">
        <f t="shared" si="0"/>
        <v>30013</v>
      </c>
      <c r="M41" s="35">
        <f t="shared" si="1"/>
        <v>0.41838711925838157</v>
      </c>
      <c r="N41" s="11" t="str">
        <f t="shared" si="2"/>
        <v>ERROR</v>
      </c>
    </row>
    <row r="42" spans="1:14" x14ac:dyDescent="0.3">
      <c r="A42" s="5" t="s">
        <v>683</v>
      </c>
      <c r="B42" s="5" t="s">
        <v>88</v>
      </c>
      <c r="C42" s="5" t="s">
        <v>61</v>
      </c>
      <c r="D42" s="5">
        <v>191</v>
      </c>
      <c r="E42" s="5">
        <v>184</v>
      </c>
      <c r="F42" s="5">
        <v>7</v>
      </c>
      <c r="G42" s="5">
        <v>181457</v>
      </c>
      <c r="H42" s="5">
        <v>46549</v>
      </c>
      <c r="I42" s="5">
        <v>20467</v>
      </c>
      <c r="J42" s="5">
        <v>57137</v>
      </c>
      <c r="K42" s="5">
        <v>57091</v>
      </c>
      <c r="L42" s="5">
        <f t="shared" si="0"/>
        <v>57304</v>
      </c>
      <c r="M42" s="35">
        <f t="shared" si="1"/>
        <v>0.31579933537973182</v>
      </c>
      <c r="N42" s="11" t="str">
        <f t="shared" si="2"/>
        <v>ERROR</v>
      </c>
    </row>
    <row r="43" spans="1:14" x14ac:dyDescent="0.3">
      <c r="A43" s="8" t="s">
        <v>683</v>
      </c>
      <c r="B43" s="8" t="s">
        <v>88</v>
      </c>
      <c r="C43" s="8" t="s">
        <v>75</v>
      </c>
      <c r="D43" s="8">
        <v>226</v>
      </c>
      <c r="E43" s="8">
        <v>212</v>
      </c>
      <c r="F43" s="8">
        <v>14</v>
      </c>
      <c r="G43" s="8">
        <v>109703</v>
      </c>
      <c r="H43" s="8">
        <v>17689</v>
      </c>
      <c r="I43" s="8">
        <v>5718</v>
      </c>
      <c r="J43" s="8">
        <v>29327</v>
      </c>
      <c r="K43" s="8">
        <v>56602</v>
      </c>
      <c r="L43" s="8">
        <f t="shared" si="0"/>
        <v>56969</v>
      </c>
      <c r="M43" s="35">
        <f t="shared" si="1"/>
        <v>0.51930211571242357</v>
      </c>
      <c r="N43" s="11" t="str">
        <f t="shared" si="2"/>
        <v>ERROR</v>
      </c>
    </row>
    <row r="44" spans="1:14" x14ac:dyDescent="0.3">
      <c r="A44" s="5" t="s">
        <v>683</v>
      </c>
      <c r="B44" s="5" t="s">
        <v>88</v>
      </c>
      <c r="C44" s="5" t="s">
        <v>82</v>
      </c>
      <c r="D44" s="5">
        <v>207</v>
      </c>
      <c r="E44" s="5">
        <v>176</v>
      </c>
      <c r="F44" s="5">
        <v>31</v>
      </c>
      <c r="G44" s="5">
        <v>165016</v>
      </c>
      <c r="H44" s="5">
        <v>43426</v>
      </c>
      <c r="I44" s="5">
        <v>15600</v>
      </c>
      <c r="J44" s="5">
        <v>38560</v>
      </c>
      <c r="K44" s="5">
        <v>67557</v>
      </c>
      <c r="L44" s="5">
        <f t="shared" si="0"/>
        <v>67430</v>
      </c>
      <c r="M44" s="35">
        <f t="shared" si="1"/>
        <v>0.40862704222620838</v>
      </c>
      <c r="N44" s="11" t="str">
        <f t="shared" si="2"/>
        <v>ERROR</v>
      </c>
    </row>
    <row r="45" spans="1:14" x14ac:dyDescent="0.3">
      <c r="A45" s="8" t="s">
        <v>683</v>
      </c>
      <c r="B45" s="8" t="s">
        <v>88</v>
      </c>
      <c r="C45" s="8" t="s">
        <v>105</v>
      </c>
      <c r="D45" s="8">
        <v>247</v>
      </c>
      <c r="E45" s="8">
        <v>226</v>
      </c>
      <c r="F45" s="8">
        <v>21</v>
      </c>
      <c r="G45" s="8">
        <v>106422</v>
      </c>
      <c r="H45" s="8">
        <v>28207</v>
      </c>
      <c r="I45" s="8">
        <v>9825</v>
      </c>
      <c r="J45" s="8">
        <v>25338</v>
      </c>
      <c r="K45" s="8">
        <v>42668</v>
      </c>
      <c r="L45" s="8">
        <f t="shared" si="0"/>
        <v>43052</v>
      </c>
      <c r="M45" s="35">
        <f t="shared" si="1"/>
        <v>0.40454041457593354</v>
      </c>
      <c r="N45" s="11" t="str">
        <f t="shared" si="2"/>
        <v>ERROR</v>
      </c>
    </row>
    <row r="46" spans="1:14" x14ac:dyDescent="0.3">
      <c r="A46" s="5" t="s">
        <v>683</v>
      </c>
      <c r="B46" s="5" t="s">
        <v>92</v>
      </c>
      <c r="C46" s="5" t="s">
        <v>61</v>
      </c>
      <c r="D46" s="5">
        <v>312</v>
      </c>
      <c r="E46" s="5">
        <v>266</v>
      </c>
      <c r="F46" s="5">
        <v>46</v>
      </c>
      <c r="G46" s="5">
        <v>132602</v>
      </c>
      <c r="H46" s="5">
        <v>38939</v>
      </c>
      <c r="I46" s="5">
        <v>15758</v>
      </c>
      <c r="J46" s="5">
        <v>33064</v>
      </c>
      <c r="K46" s="5">
        <v>44557</v>
      </c>
      <c r="L46" s="5">
        <f t="shared" si="0"/>
        <v>44841</v>
      </c>
      <c r="M46" s="35">
        <f t="shared" si="1"/>
        <v>0.33816232032699356</v>
      </c>
      <c r="N46" s="11" t="str">
        <f t="shared" si="2"/>
        <v>ERROR</v>
      </c>
    </row>
    <row r="47" spans="1:14" x14ac:dyDescent="0.3">
      <c r="A47" s="8" t="s">
        <v>683</v>
      </c>
      <c r="B47" s="8" t="s">
        <v>92</v>
      </c>
      <c r="C47" s="8" t="s">
        <v>75</v>
      </c>
      <c r="D47" s="8">
        <v>229</v>
      </c>
      <c r="E47" s="8">
        <v>197</v>
      </c>
      <c r="F47" s="8">
        <v>32</v>
      </c>
      <c r="G47" s="8">
        <v>196211</v>
      </c>
      <c r="H47" s="8">
        <v>49089</v>
      </c>
      <c r="I47" s="8">
        <v>22702</v>
      </c>
      <c r="J47" s="8">
        <v>47980</v>
      </c>
      <c r="K47" s="8">
        <v>76283</v>
      </c>
      <c r="L47" s="8">
        <f t="shared" si="0"/>
        <v>76440</v>
      </c>
      <c r="M47" s="35">
        <f t="shared" si="1"/>
        <v>0.38958060455326154</v>
      </c>
      <c r="N47" s="11" t="str">
        <f t="shared" si="2"/>
        <v>ERROR</v>
      </c>
    </row>
    <row r="48" spans="1:14" x14ac:dyDescent="0.3">
      <c r="A48" s="5" t="s">
        <v>683</v>
      </c>
      <c r="B48" s="5" t="s">
        <v>92</v>
      </c>
      <c r="C48" s="5" t="s">
        <v>82</v>
      </c>
      <c r="D48" s="5">
        <v>150</v>
      </c>
      <c r="E48" s="5">
        <v>136</v>
      </c>
      <c r="F48" s="5">
        <v>14</v>
      </c>
      <c r="G48" s="5">
        <v>74975</v>
      </c>
      <c r="H48" s="5">
        <v>17133</v>
      </c>
      <c r="I48" s="5">
        <v>10350</v>
      </c>
      <c r="J48" s="5">
        <v>23586</v>
      </c>
      <c r="K48" s="5">
        <v>24165</v>
      </c>
      <c r="L48" s="5">
        <f t="shared" si="0"/>
        <v>23906</v>
      </c>
      <c r="M48" s="35">
        <f t="shared" si="1"/>
        <v>0.31885295098366123</v>
      </c>
      <c r="N48" s="11" t="str">
        <f t="shared" si="2"/>
        <v>ERROR</v>
      </c>
    </row>
    <row r="49" spans="1:14" x14ac:dyDescent="0.3">
      <c r="A49" s="8" t="s">
        <v>683</v>
      </c>
      <c r="B49" s="8" t="s">
        <v>92</v>
      </c>
      <c r="C49" s="8" t="s">
        <v>105</v>
      </c>
      <c r="D49" s="8">
        <v>158</v>
      </c>
      <c r="E49" s="8">
        <v>140</v>
      </c>
      <c r="F49" s="8">
        <v>18</v>
      </c>
      <c r="G49" s="8">
        <v>46710</v>
      </c>
      <c r="H49" s="8">
        <v>10416</v>
      </c>
      <c r="I49" s="8">
        <v>6550</v>
      </c>
      <c r="J49" s="8">
        <v>14346</v>
      </c>
      <c r="K49" s="8">
        <v>15221</v>
      </c>
      <c r="L49" s="8">
        <f t="shared" si="0"/>
        <v>15398</v>
      </c>
      <c r="M49" s="35">
        <f t="shared" si="1"/>
        <v>0.32965103832155856</v>
      </c>
      <c r="N49" s="11" t="str">
        <f t="shared" si="2"/>
        <v>ERROR</v>
      </c>
    </row>
    <row r="50" spans="1:14" x14ac:dyDescent="0.3">
      <c r="A50" s="5" t="s">
        <v>684</v>
      </c>
      <c r="B50" s="5" t="s">
        <v>60</v>
      </c>
      <c r="C50" s="5" t="s">
        <v>61</v>
      </c>
      <c r="D50" s="5">
        <v>353</v>
      </c>
      <c r="E50" s="5">
        <v>322</v>
      </c>
      <c r="F50" s="5">
        <v>31</v>
      </c>
      <c r="G50" s="5">
        <v>321968</v>
      </c>
      <c r="H50" s="5">
        <v>70558</v>
      </c>
      <c r="I50" s="5">
        <v>41992</v>
      </c>
      <c r="J50" s="5">
        <v>83626</v>
      </c>
      <c r="K50" s="5">
        <v>125582</v>
      </c>
      <c r="L50" s="5">
        <f t="shared" si="0"/>
        <v>125792</v>
      </c>
      <c r="M50" s="35">
        <f t="shared" si="1"/>
        <v>0.39069721214530634</v>
      </c>
      <c r="N50" s="11" t="str">
        <f t="shared" si="2"/>
        <v>ERROR</v>
      </c>
    </row>
    <row r="51" spans="1:14" x14ac:dyDescent="0.3">
      <c r="A51" s="8" t="s">
        <v>684</v>
      </c>
      <c r="B51" s="8" t="s">
        <v>60</v>
      </c>
      <c r="C51" s="8" t="s">
        <v>75</v>
      </c>
      <c r="D51" s="8">
        <v>467</v>
      </c>
      <c r="E51" s="8">
        <v>422</v>
      </c>
      <c r="F51" s="8">
        <v>45</v>
      </c>
      <c r="G51" s="8">
        <v>116312</v>
      </c>
      <c r="H51" s="8">
        <v>26574</v>
      </c>
      <c r="I51" s="8">
        <v>10673</v>
      </c>
      <c r="J51" s="8">
        <v>23970</v>
      </c>
      <c r="K51" s="8">
        <v>55439</v>
      </c>
      <c r="L51" s="8">
        <f t="shared" si="0"/>
        <v>55095</v>
      </c>
      <c r="M51" s="35">
        <f t="shared" si="1"/>
        <v>0.47368285301602586</v>
      </c>
      <c r="N51" s="11" t="str">
        <f t="shared" si="2"/>
        <v>ERROR</v>
      </c>
    </row>
    <row r="52" spans="1:14" x14ac:dyDescent="0.3">
      <c r="A52" s="5" t="s">
        <v>684</v>
      </c>
      <c r="B52" s="5" t="s">
        <v>60</v>
      </c>
      <c r="C52" s="5" t="s">
        <v>82</v>
      </c>
      <c r="D52" s="5">
        <v>281</v>
      </c>
      <c r="E52" s="5">
        <v>246</v>
      </c>
      <c r="F52" s="5">
        <v>35</v>
      </c>
      <c r="G52" s="5">
        <v>194985</v>
      </c>
      <c r="H52" s="5">
        <v>30714</v>
      </c>
      <c r="I52" s="5">
        <v>14281</v>
      </c>
      <c r="J52" s="5">
        <v>49772</v>
      </c>
      <c r="K52" s="5">
        <v>100677</v>
      </c>
      <c r="L52" s="5">
        <f t="shared" si="0"/>
        <v>100218</v>
      </c>
      <c r="M52" s="35">
        <f t="shared" si="1"/>
        <v>0.51397799830756208</v>
      </c>
      <c r="N52" s="11" t="str">
        <f t="shared" si="2"/>
        <v>ERROR</v>
      </c>
    </row>
    <row r="53" spans="1:14" x14ac:dyDescent="0.3">
      <c r="A53" s="8" t="s">
        <v>684</v>
      </c>
      <c r="B53" s="8" t="s">
        <v>60</v>
      </c>
      <c r="C53" s="8" t="s">
        <v>105</v>
      </c>
      <c r="D53" s="8">
        <v>365</v>
      </c>
      <c r="E53" s="8">
        <v>320</v>
      </c>
      <c r="F53" s="8">
        <v>45</v>
      </c>
      <c r="G53" s="8">
        <v>88895</v>
      </c>
      <c r="H53" s="8">
        <v>16758</v>
      </c>
      <c r="I53" s="8">
        <v>13172</v>
      </c>
      <c r="J53" s="8">
        <v>20691</v>
      </c>
      <c r="K53" s="8">
        <v>38520</v>
      </c>
      <c r="L53" s="8">
        <f t="shared" si="0"/>
        <v>38274</v>
      </c>
      <c r="M53" s="35">
        <f t="shared" si="1"/>
        <v>0.43055289948816017</v>
      </c>
      <c r="N53" s="11" t="str">
        <f t="shared" si="2"/>
        <v>ERROR</v>
      </c>
    </row>
    <row r="54" spans="1:14" x14ac:dyDescent="0.3">
      <c r="A54" s="5" t="s">
        <v>684</v>
      </c>
      <c r="B54" s="5" t="s">
        <v>68</v>
      </c>
      <c r="C54" s="5" t="s">
        <v>61</v>
      </c>
      <c r="D54" s="5">
        <v>219</v>
      </c>
      <c r="E54" s="5">
        <v>198</v>
      </c>
      <c r="F54" s="5">
        <v>21</v>
      </c>
      <c r="G54" s="5">
        <v>175953</v>
      </c>
      <c r="H54" s="5">
        <v>29885</v>
      </c>
      <c r="I54" s="5">
        <v>26155</v>
      </c>
      <c r="J54" s="5">
        <v>54979</v>
      </c>
      <c r="K54" s="5">
        <v>65286</v>
      </c>
      <c r="L54" s="5">
        <f t="shared" si="0"/>
        <v>64934</v>
      </c>
      <c r="M54" s="35">
        <f t="shared" si="1"/>
        <v>0.36904173273544638</v>
      </c>
      <c r="N54" s="11" t="str">
        <f t="shared" si="2"/>
        <v>ERROR</v>
      </c>
    </row>
    <row r="55" spans="1:14" x14ac:dyDescent="0.3">
      <c r="A55" s="8" t="s">
        <v>684</v>
      </c>
      <c r="B55" s="8" t="s">
        <v>68</v>
      </c>
      <c r="C55" s="8" t="s">
        <v>75</v>
      </c>
      <c r="D55" s="8">
        <v>387</v>
      </c>
      <c r="E55" s="8">
        <v>338</v>
      </c>
      <c r="F55" s="8">
        <v>49</v>
      </c>
      <c r="G55" s="8">
        <v>137648</v>
      </c>
      <c r="H55" s="8">
        <v>28944</v>
      </c>
      <c r="I55" s="8">
        <v>11138</v>
      </c>
      <c r="J55" s="8">
        <v>33416</v>
      </c>
      <c r="K55" s="8">
        <v>63828</v>
      </c>
      <c r="L55" s="8">
        <f t="shared" si="0"/>
        <v>64150</v>
      </c>
      <c r="M55" s="35">
        <f t="shared" si="1"/>
        <v>0.46604382192258514</v>
      </c>
      <c r="N55" s="11" t="str">
        <f t="shared" si="2"/>
        <v>ERROR</v>
      </c>
    </row>
    <row r="56" spans="1:14" x14ac:dyDescent="0.3">
      <c r="A56" s="5" t="s">
        <v>684</v>
      </c>
      <c r="B56" s="5" t="s">
        <v>68</v>
      </c>
      <c r="C56" s="5" t="s">
        <v>82</v>
      </c>
      <c r="D56" s="5">
        <v>221</v>
      </c>
      <c r="E56" s="5">
        <v>206</v>
      </c>
      <c r="F56" s="5">
        <v>15</v>
      </c>
      <c r="G56" s="5">
        <v>157252</v>
      </c>
      <c r="H56" s="5">
        <v>31084</v>
      </c>
      <c r="I56" s="5">
        <v>11662</v>
      </c>
      <c r="J56" s="5">
        <v>49776</v>
      </c>
      <c r="K56" s="5">
        <v>64559</v>
      </c>
      <c r="L56" s="5">
        <f t="shared" si="0"/>
        <v>64730</v>
      </c>
      <c r="M56" s="35">
        <f t="shared" si="1"/>
        <v>0.41163228448604788</v>
      </c>
      <c r="N56" s="11" t="str">
        <f t="shared" si="2"/>
        <v>ERROR</v>
      </c>
    </row>
    <row r="57" spans="1:14" x14ac:dyDescent="0.3">
      <c r="A57" s="8" t="s">
        <v>684</v>
      </c>
      <c r="B57" s="8" t="s">
        <v>68</v>
      </c>
      <c r="C57" s="8" t="s">
        <v>105</v>
      </c>
      <c r="D57" s="8">
        <v>137</v>
      </c>
      <c r="E57" s="8">
        <v>125</v>
      </c>
      <c r="F57" s="8">
        <v>12</v>
      </c>
      <c r="G57" s="8">
        <v>146395</v>
      </c>
      <c r="H57" s="8">
        <v>31289</v>
      </c>
      <c r="I57" s="8">
        <v>7517</v>
      </c>
      <c r="J57" s="8">
        <v>46704</v>
      </c>
      <c r="K57" s="8">
        <v>60730</v>
      </c>
      <c r="L57" s="8">
        <f t="shared" si="0"/>
        <v>60885</v>
      </c>
      <c r="M57" s="35">
        <f t="shared" si="1"/>
        <v>0.41589535161720004</v>
      </c>
      <c r="N57" s="11" t="str">
        <f t="shared" si="2"/>
        <v>ERROR</v>
      </c>
    </row>
    <row r="58" spans="1:14" x14ac:dyDescent="0.3">
      <c r="A58" s="5" t="s">
        <v>684</v>
      </c>
      <c r="B58" s="5" t="s">
        <v>74</v>
      </c>
      <c r="C58" s="5" t="s">
        <v>61</v>
      </c>
      <c r="D58" s="5">
        <v>468</v>
      </c>
      <c r="E58" s="5">
        <v>440</v>
      </c>
      <c r="F58" s="5">
        <v>28</v>
      </c>
      <c r="G58" s="5">
        <v>369146</v>
      </c>
      <c r="H58" s="5">
        <v>78124</v>
      </c>
      <c r="I58" s="5">
        <v>32582</v>
      </c>
      <c r="J58" s="5">
        <v>92358</v>
      </c>
      <c r="K58" s="5">
        <v>165770</v>
      </c>
      <c r="L58" s="5">
        <f t="shared" si="0"/>
        <v>166082</v>
      </c>
      <c r="M58" s="35">
        <f t="shared" si="1"/>
        <v>0.44990870820759266</v>
      </c>
      <c r="N58" s="11" t="str">
        <f t="shared" si="2"/>
        <v>ERROR</v>
      </c>
    </row>
    <row r="59" spans="1:14" x14ac:dyDescent="0.3">
      <c r="A59" s="8" t="s">
        <v>684</v>
      </c>
      <c r="B59" s="8" t="s">
        <v>74</v>
      </c>
      <c r="C59" s="8" t="s">
        <v>75</v>
      </c>
      <c r="D59" s="8">
        <v>383</v>
      </c>
      <c r="E59" s="8">
        <v>331</v>
      </c>
      <c r="F59" s="8">
        <v>52</v>
      </c>
      <c r="G59" s="8">
        <v>195998</v>
      </c>
      <c r="H59" s="8">
        <v>57495</v>
      </c>
      <c r="I59" s="8">
        <v>23345</v>
      </c>
      <c r="J59" s="8">
        <v>42391</v>
      </c>
      <c r="K59" s="8">
        <v>72597</v>
      </c>
      <c r="L59" s="8">
        <f t="shared" si="0"/>
        <v>72767</v>
      </c>
      <c r="M59" s="35">
        <f t="shared" si="1"/>
        <v>0.37126399248971931</v>
      </c>
      <c r="N59" s="11" t="str">
        <f t="shared" si="2"/>
        <v>ERROR</v>
      </c>
    </row>
    <row r="60" spans="1:14" x14ac:dyDescent="0.3">
      <c r="A60" s="5" t="s">
        <v>684</v>
      </c>
      <c r="B60" s="5" t="s">
        <v>74</v>
      </c>
      <c r="C60" s="5" t="s">
        <v>82</v>
      </c>
      <c r="D60" s="5">
        <v>228</v>
      </c>
      <c r="E60" s="5">
        <v>208</v>
      </c>
      <c r="F60" s="5">
        <v>20</v>
      </c>
      <c r="G60" s="5">
        <v>212421</v>
      </c>
      <c r="H60" s="5">
        <v>37505</v>
      </c>
      <c r="I60" s="5">
        <v>20109</v>
      </c>
      <c r="J60" s="5">
        <v>54910</v>
      </c>
      <c r="K60" s="5">
        <v>99929</v>
      </c>
      <c r="L60" s="5">
        <f t="shared" si="0"/>
        <v>99897</v>
      </c>
      <c r="M60" s="35">
        <f t="shared" si="1"/>
        <v>0.47027836230881126</v>
      </c>
      <c r="N60" s="11" t="str">
        <f t="shared" si="2"/>
        <v>ERROR</v>
      </c>
    </row>
    <row r="61" spans="1:14" x14ac:dyDescent="0.3">
      <c r="A61" s="8" t="s">
        <v>684</v>
      </c>
      <c r="B61" s="8" t="s">
        <v>74</v>
      </c>
      <c r="C61" s="8" t="s">
        <v>105</v>
      </c>
      <c r="D61" s="8">
        <v>91</v>
      </c>
      <c r="E61" s="8">
        <v>78</v>
      </c>
      <c r="F61" s="8">
        <v>13</v>
      </c>
      <c r="G61" s="8">
        <v>45032</v>
      </c>
      <c r="H61" s="8">
        <v>13150</v>
      </c>
      <c r="I61" s="8">
        <v>3711</v>
      </c>
      <c r="J61" s="8">
        <v>15051</v>
      </c>
      <c r="K61" s="8">
        <v>13451</v>
      </c>
      <c r="L61" s="8">
        <f t="shared" si="0"/>
        <v>13120</v>
      </c>
      <c r="M61" s="35">
        <f t="shared" si="1"/>
        <v>0.2913483744892521</v>
      </c>
      <c r="N61" s="11" t="str">
        <f t="shared" si="2"/>
        <v>ERROR</v>
      </c>
    </row>
    <row r="62" spans="1:14" x14ac:dyDescent="0.3">
      <c r="A62" s="5" t="s">
        <v>684</v>
      </c>
      <c r="B62" s="5" t="s">
        <v>81</v>
      </c>
      <c r="C62" s="5" t="s">
        <v>61</v>
      </c>
      <c r="D62" s="5">
        <v>181</v>
      </c>
      <c r="E62" s="5">
        <v>176</v>
      </c>
      <c r="F62" s="5">
        <v>5</v>
      </c>
      <c r="G62" s="5">
        <v>66120</v>
      </c>
      <c r="H62" s="5">
        <v>15537</v>
      </c>
      <c r="I62" s="5">
        <v>4329</v>
      </c>
      <c r="J62" s="5">
        <v>15968</v>
      </c>
      <c r="K62" s="5">
        <v>29972</v>
      </c>
      <c r="L62" s="5">
        <f t="shared" si="0"/>
        <v>30286</v>
      </c>
      <c r="M62" s="35">
        <f t="shared" si="1"/>
        <v>0.45804597701149424</v>
      </c>
      <c r="N62" s="11" t="str">
        <f t="shared" si="2"/>
        <v>ERROR</v>
      </c>
    </row>
    <row r="63" spans="1:14" x14ac:dyDescent="0.3">
      <c r="A63" s="8" t="s">
        <v>684</v>
      </c>
      <c r="B63" s="8" t="s">
        <v>81</v>
      </c>
      <c r="C63" s="8" t="s">
        <v>75</v>
      </c>
      <c r="D63" s="8">
        <v>495</v>
      </c>
      <c r="E63" s="8">
        <v>440</v>
      </c>
      <c r="F63" s="8">
        <v>55</v>
      </c>
      <c r="G63" s="8">
        <v>314627</v>
      </c>
      <c r="H63" s="8">
        <v>52233</v>
      </c>
      <c r="I63" s="8">
        <v>16944</v>
      </c>
      <c r="J63" s="8">
        <v>91211</v>
      </c>
      <c r="K63" s="8">
        <v>153981</v>
      </c>
      <c r="L63" s="8">
        <f t="shared" si="0"/>
        <v>154239</v>
      </c>
      <c r="M63" s="35">
        <f t="shared" si="1"/>
        <v>0.49022811138268491</v>
      </c>
      <c r="N63" s="11" t="str">
        <f t="shared" si="2"/>
        <v>ERROR</v>
      </c>
    </row>
    <row r="64" spans="1:14" x14ac:dyDescent="0.3">
      <c r="A64" s="5" t="s">
        <v>684</v>
      </c>
      <c r="B64" s="5" t="s">
        <v>81</v>
      </c>
      <c r="C64" s="5" t="s">
        <v>82</v>
      </c>
      <c r="D64" s="5">
        <v>446</v>
      </c>
      <c r="E64" s="5">
        <v>401</v>
      </c>
      <c r="F64" s="5">
        <v>45</v>
      </c>
      <c r="G64" s="5">
        <v>324633</v>
      </c>
      <c r="H64" s="5">
        <v>81169</v>
      </c>
      <c r="I64" s="5">
        <v>21973</v>
      </c>
      <c r="J64" s="5">
        <v>75521</v>
      </c>
      <c r="K64" s="5">
        <v>146258</v>
      </c>
      <c r="L64" s="5">
        <f t="shared" si="0"/>
        <v>145970</v>
      </c>
      <c r="M64" s="35">
        <f t="shared" si="1"/>
        <v>0.44964621588070219</v>
      </c>
      <c r="N64" s="11" t="str">
        <f t="shared" si="2"/>
        <v>ERROR</v>
      </c>
    </row>
    <row r="65" spans="1:14" x14ac:dyDescent="0.3">
      <c r="A65" s="8" t="s">
        <v>684</v>
      </c>
      <c r="B65" s="8" t="s">
        <v>81</v>
      </c>
      <c r="C65" s="8" t="s">
        <v>105</v>
      </c>
      <c r="D65" s="8">
        <v>240</v>
      </c>
      <c r="E65" s="8">
        <v>205</v>
      </c>
      <c r="F65" s="8">
        <v>35</v>
      </c>
      <c r="G65" s="8">
        <v>198245</v>
      </c>
      <c r="H65" s="8">
        <v>32408</v>
      </c>
      <c r="I65" s="8">
        <v>25177</v>
      </c>
      <c r="J65" s="8">
        <v>46593</v>
      </c>
      <c r="K65" s="8">
        <v>94006</v>
      </c>
      <c r="L65" s="8">
        <f t="shared" si="0"/>
        <v>94067</v>
      </c>
      <c r="M65" s="35">
        <f t="shared" si="1"/>
        <v>0.47449872632348861</v>
      </c>
      <c r="N65" s="11" t="str">
        <f t="shared" si="2"/>
        <v>ERROR</v>
      </c>
    </row>
    <row r="66" spans="1:14" x14ac:dyDescent="0.3">
      <c r="A66" s="5" t="s">
        <v>684</v>
      </c>
      <c r="B66" s="5" t="s">
        <v>88</v>
      </c>
      <c r="C66" s="5" t="s">
        <v>61</v>
      </c>
      <c r="D66" s="5">
        <v>469</v>
      </c>
      <c r="E66" s="5">
        <v>452</v>
      </c>
      <c r="F66" s="5">
        <v>17</v>
      </c>
      <c r="G66" s="5">
        <v>314886</v>
      </c>
      <c r="H66" s="5">
        <v>86384</v>
      </c>
      <c r="I66" s="5">
        <v>23439</v>
      </c>
      <c r="J66" s="5">
        <v>66872</v>
      </c>
      <c r="K66" s="5">
        <v>137898</v>
      </c>
      <c r="L66" s="5">
        <f t="shared" si="0"/>
        <v>138191</v>
      </c>
      <c r="M66" s="35">
        <f t="shared" si="1"/>
        <v>0.4388604129748544</v>
      </c>
      <c r="N66" s="11" t="str">
        <f t="shared" si="2"/>
        <v>ERROR</v>
      </c>
    </row>
    <row r="67" spans="1:14" x14ac:dyDescent="0.3">
      <c r="A67" s="8" t="s">
        <v>684</v>
      </c>
      <c r="B67" s="8" t="s">
        <v>88</v>
      </c>
      <c r="C67" s="8" t="s">
        <v>75</v>
      </c>
      <c r="D67" s="8">
        <v>137</v>
      </c>
      <c r="E67" s="8">
        <v>132</v>
      </c>
      <c r="F67" s="8">
        <v>5</v>
      </c>
      <c r="G67" s="8">
        <v>115041</v>
      </c>
      <c r="H67" s="8">
        <v>32447</v>
      </c>
      <c r="I67" s="8">
        <v>16107</v>
      </c>
      <c r="J67" s="8">
        <v>33162</v>
      </c>
      <c r="K67" s="8">
        <v>33389</v>
      </c>
      <c r="L67" s="8">
        <f t="shared" ref="L67:L97" si="3">G67-H67-I67-J67</f>
        <v>33325</v>
      </c>
      <c r="M67" s="35">
        <f t="shared" ref="M67:M97" si="4">L67/G67</f>
        <v>0.28967933171651844</v>
      </c>
      <c r="N67" s="11" t="str">
        <f t="shared" ref="N67:N97" si="5">IF(ABS(K67-L67)&lt;=1,"OK","ERROR")</f>
        <v>ERROR</v>
      </c>
    </row>
    <row r="68" spans="1:14" x14ac:dyDescent="0.3">
      <c r="A68" s="5" t="s">
        <v>684</v>
      </c>
      <c r="B68" s="5" t="s">
        <v>88</v>
      </c>
      <c r="C68" s="5" t="s">
        <v>82</v>
      </c>
      <c r="D68" s="5">
        <v>190</v>
      </c>
      <c r="E68" s="5">
        <v>165</v>
      </c>
      <c r="F68" s="5">
        <v>25</v>
      </c>
      <c r="G68" s="5">
        <v>69269</v>
      </c>
      <c r="H68" s="5">
        <v>18536</v>
      </c>
      <c r="I68" s="5">
        <v>3761</v>
      </c>
      <c r="J68" s="5">
        <v>17068</v>
      </c>
      <c r="K68" s="5">
        <v>29905</v>
      </c>
      <c r="L68" s="5">
        <f t="shared" si="3"/>
        <v>29904</v>
      </c>
      <c r="M68" s="35">
        <f t="shared" si="4"/>
        <v>0.43170826776768828</v>
      </c>
      <c r="N68" s="11" t="str">
        <f t="shared" si="5"/>
        <v>OK</v>
      </c>
    </row>
    <row r="69" spans="1:14" x14ac:dyDescent="0.3">
      <c r="A69" s="8" t="s">
        <v>684</v>
      </c>
      <c r="B69" s="8" t="s">
        <v>88</v>
      </c>
      <c r="C69" s="8" t="s">
        <v>105</v>
      </c>
      <c r="D69" s="8">
        <v>358</v>
      </c>
      <c r="E69" s="8">
        <v>342</v>
      </c>
      <c r="F69" s="8">
        <v>16</v>
      </c>
      <c r="G69" s="8">
        <v>175672</v>
      </c>
      <c r="H69" s="8">
        <v>38377</v>
      </c>
      <c r="I69" s="8">
        <v>20423</v>
      </c>
      <c r="J69" s="8">
        <v>35509</v>
      </c>
      <c r="K69" s="8">
        <v>81058</v>
      </c>
      <c r="L69" s="8">
        <f t="shared" si="3"/>
        <v>81363</v>
      </c>
      <c r="M69" s="35">
        <f t="shared" si="4"/>
        <v>0.46315292135343139</v>
      </c>
      <c r="N69" s="11" t="str">
        <f t="shared" si="5"/>
        <v>ERROR</v>
      </c>
    </row>
    <row r="70" spans="1:14" x14ac:dyDescent="0.3">
      <c r="A70" s="5" t="s">
        <v>684</v>
      </c>
      <c r="B70" s="5" t="s">
        <v>92</v>
      </c>
      <c r="C70" s="5" t="s">
        <v>61</v>
      </c>
      <c r="D70" s="5">
        <v>454</v>
      </c>
      <c r="E70" s="5">
        <v>394</v>
      </c>
      <c r="F70" s="5">
        <v>60</v>
      </c>
      <c r="G70" s="5">
        <v>131718</v>
      </c>
      <c r="H70" s="5">
        <v>22857</v>
      </c>
      <c r="I70" s="5">
        <v>7146</v>
      </c>
      <c r="J70" s="5">
        <v>41229</v>
      </c>
      <c r="K70" s="5">
        <v>60966</v>
      </c>
      <c r="L70" s="5">
        <f t="shared" si="3"/>
        <v>60486</v>
      </c>
      <c r="M70" s="35">
        <f t="shared" si="4"/>
        <v>0.45920830865940876</v>
      </c>
      <c r="N70" s="11" t="str">
        <f t="shared" si="5"/>
        <v>ERROR</v>
      </c>
    </row>
    <row r="71" spans="1:14" x14ac:dyDescent="0.3">
      <c r="A71" s="8" t="s">
        <v>684</v>
      </c>
      <c r="B71" s="8" t="s">
        <v>92</v>
      </c>
      <c r="C71" s="8" t="s">
        <v>75</v>
      </c>
      <c r="D71" s="8">
        <v>66</v>
      </c>
      <c r="E71" s="8">
        <v>57</v>
      </c>
      <c r="F71" s="8">
        <v>9</v>
      </c>
      <c r="G71" s="8">
        <v>43289</v>
      </c>
      <c r="H71" s="8">
        <v>7983</v>
      </c>
      <c r="I71" s="8">
        <v>5119</v>
      </c>
      <c r="J71" s="8">
        <v>11815</v>
      </c>
      <c r="K71" s="8">
        <v>18085</v>
      </c>
      <c r="L71" s="8">
        <f t="shared" si="3"/>
        <v>18372</v>
      </c>
      <c r="M71" s="35">
        <f t="shared" si="4"/>
        <v>0.42440342812261778</v>
      </c>
      <c r="N71" s="11" t="str">
        <f t="shared" si="5"/>
        <v>ERROR</v>
      </c>
    </row>
    <row r="72" spans="1:14" x14ac:dyDescent="0.3">
      <c r="A72" s="5" t="s">
        <v>684</v>
      </c>
      <c r="B72" s="5" t="s">
        <v>92</v>
      </c>
      <c r="C72" s="5" t="s">
        <v>82</v>
      </c>
      <c r="D72" s="5">
        <v>166</v>
      </c>
      <c r="E72" s="5">
        <v>153</v>
      </c>
      <c r="F72" s="5">
        <v>13</v>
      </c>
      <c r="G72" s="5">
        <v>96945</v>
      </c>
      <c r="H72" s="5">
        <v>24384</v>
      </c>
      <c r="I72" s="5">
        <v>8329</v>
      </c>
      <c r="J72" s="5">
        <v>20347</v>
      </c>
      <c r="K72" s="5">
        <v>44351</v>
      </c>
      <c r="L72" s="5">
        <f t="shared" si="3"/>
        <v>43885</v>
      </c>
      <c r="M72" s="35">
        <f t="shared" si="4"/>
        <v>0.4526793542730414</v>
      </c>
      <c r="N72" s="11" t="str">
        <f t="shared" si="5"/>
        <v>ERROR</v>
      </c>
    </row>
    <row r="73" spans="1:14" x14ac:dyDescent="0.3">
      <c r="A73" s="8" t="s">
        <v>684</v>
      </c>
      <c r="B73" s="8" t="s">
        <v>92</v>
      </c>
      <c r="C73" s="8" t="s">
        <v>105</v>
      </c>
      <c r="D73" s="8">
        <v>62</v>
      </c>
      <c r="E73" s="8">
        <v>54</v>
      </c>
      <c r="F73" s="8">
        <v>8</v>
      </c>
      <c r="G73" s="8">
        <v>34448</v>
      </c>
      <c r="H73" s="8">
        <v>5701</v>
      </c>
      <c r="I73" s="8">
        <v>4425</v>
      </c>
      <c r="J73" s="8">
        <v>11273</v>
      </c>
      <c r="K73" s="8">
        <v>12657</v>
      </c>
      <c r="L73" s="8">
        <f t="shared" si="3"/>
        <v>13049</v>
      </c>
      <c r="M73" s="35">
        <f t="shared" si="4"/>
        <v>0.37880283325592196</v>
      </c>
      <c r="N73" s="11" t="str">
        <f t="shared" si="5"/>
        <v>ERROR</v>
      </c>
    </row>
    <row r="74" spans="1:14" x14ac:dyDescent="0.3">
      <c r="A74" s="5" t="s">
        <v>685</v>
      </c>
      <c r="B74" s="5" t="s">
        <v>60</v>
      </c>
      <c r="C74" s="5" t="s">
        <v>61</v>
      </c>
      <c r="D74" s="5">
        <v>467</v>
      </c>
      <c r="E74" s="5">
        <v>414</v>
      </c>
      <c r="F74" s="5">
        <v>53</v>
      </c>
      <c r="G74" s="5">
        <v>379762</v>
      </c>
      <c r="H74" s="5">
        <v>110705</v>
      </c>
      <c r="I74" s="5">
        <v>47419</v>
      </c>
      <c r="J74" s="5">
        <v>116079</v>
      </c>
      <c r="K74" s="5">
        <v>105199</v>
      </c>
      <c r="L74" s="5">
        <f t="shared" si="3"/>
        <v>105559</v>
      </c>
      <c r="M74" s="35">
        <f t="shared" si="4"/>
        <v>0.27796093342672518</v>
      </c>
      <c r="N74" s="11" t="str">
        <f t="shared" si="5"/>
        <v>ERROR</v>
      </c>
    </row>
    <row r="75" spans="1:14" x14ac:dyDescent="0.3">
      <c r="A75" s="8" t="s">
        <v>685</v>
      </c>
      <c r="B75" s="8" t="s">
        <v>60</v>
      </c>
      <c r="C75" s="8" t="s">
        <v>75</v>
      </c>
      <c r="D75" s="8">
        <v>167</v>
      </c>
      <c r="E75" s="8">
        <v>154</v>
      </c>
      <c r="F75" s="8">
        <v>13</v>
      </c>
      <c r="G75" s="8">
        <v>85256</v>
      </c>
      <c r="H75" s="8">
        <v>19606</v>
      </c>
      <c r="I75" s="8">
        <v>10360</v>
      </c>
      <c r="J75" s="8">
        <v>19601</v>
      </c>
      <c r="K75" s="8">
        <v>35516</v>
      </c>
      <c r="L75" s="8">
        <f t="shared" si="3"/>
        <v>35689</v>
      </c>
      <c r="M75" s="35">
        <f t="shared" si="4"/>
        <v>0.41860983391198275</v>
      </c>
      <c r="N75" s="11" t="str">
        <f t="shared" si="5"/>
        <v>ERROR</v>
      </c>
    </row>
    <row r="76" spans="1:14" x14ac:dyDescent="0.3">
      <c r="A76" s="5" t="s">
        <v>685</v>
      </c>
      <c r="B76" s="5" t="s">
        <v>60</v>
      </c>
      <c r="C76" s="5" t="s">
        <v>82</v>
      </c>
      <c r="D76" s="5">
        <v>157</v>
      </c>
      <c r="E76" s="5">
        <v>139</v>
      </c>
      <c r="F76" s="5">
        <v>18</v>
      </c>
      <c r="G76" s="5">
        <v>148754</v>
      </c>
      <c r="H76" s="5">
        <v>29163</v>
      </c>
      <c r="I76" s="5">
        <v>8992</v>
      </c>
      <c r="J76" s="5">
        <v>49646</v>
      </c>
      <c r="K76" s="5">
        <v>61193</v>
      </c>
      <c r="L76" s="5">
        <f t="shared" si="3"/>
        <v>60953</v>
      </c>
      <c r="M76" s="35">
        <f t="shared" si="4"/>
        <v>0.40975704854995498</v>
      </c>
      <c r="N76" s="11" t="str">
        <f t="shared" si="5"/>
        <v>ERROR</v>
      </c>
    </row>
    <row r="77" spans="1:14" x14ac:dyDescent="0.3">
      <c r="A77" s="8" t="s">
        <v>685</v>
      </c>
      <c r="B77" s="8" t="s">
        <v>60</v>
      </c>
      <c r="C77" s="8" t="s">
        <v>105</v>
      </c>
      <c r="D77" s="8">
        <v>153</v>
      </c>
      <c r="E77" s="8">
        <v>147</v>
      </c>
      <c r="F77" s="8">
        <v>6</v>
      </c>
      <c r="G77" s="8">
        <v>29912</v>
      </c>
      <c r="H77" s="8">
        <v>6401</v>
      </c>
      <c r="I77" s="8">
        <v>4116</v>
      </c>
      <c r="J77" s="8">
        <v>6751</v>
      </c>
      <c r="K77" s="8">
        <v>12615</v>
      </c>
      <c r="L77" s="8">
        <f t="shared" si="3"/>
        <v>12644</v>
      </c>
      <c r="M77" s="35">
        <f t="shared" si="4"/>
        <v>0.42270660604439692</v>
      </c>
      <c r="N77" s="11" t="str">
        <f t="shared" si="5"/>
        <v>ERROR</v>
      </c>
    </row>
    <row r="78" spans="1:14" x14ac:dyDescent="0.3">
      <c r="A78" s="5" t="s">
        <v>685</v>
      </c>
      <c r="B78" s="5" t="s">
        <v>68</v>
      </c>
      <c r="C78" s="5" t="s">
        <v>61</v>
      </c>
      <c r="D78" s="5">
        <v>52</v>
      </c>
      <c r="E78" s="5">
        <v>46</v>
      </c>
      <c r="F78" s="5">
        <v>6</v>
      </c>
      <c r="G78" s="5">
        <v>32468</v>
      </c>
      <c r="H78" s="5">
        <v>8990</v>
      </c>
      <c r="I78" s="5">
        <v>2459</v>
      </c>
      <c r="J78" s="5">
        <v>7682</v>
      </c>
      <c r="K78" s="5">
        <v>12843</v>
      </c>
      <c r="L78" s="5">
        <f t="shared" si="3"/>
        <v>13337</v>
      </c>
      <c r="M78" s="35">
        <f t="shared" si="4"/>
        <v>0.410773684858938</v>
      </c>
      <c r="N78" s="11" t="str">
        <f t="shared" si="5"/>
        <v>ERROR</v>
      </c>
    </row>
    <row r="79" spans="1:14" x14ac:dyDescent="0.3">
      <c r="A79" s="8" t="s">
        <v>685</v>
      </c>
      <c r="B79" s="8" t="s">
        <v>68</v>
      </c>
      <c r="C79" s="8" t="s">
        <v>75</v>
      </c>
      <c r="D79" s="8">
        <v>348</v>
      </c>
      <c r="E79" s="8">
        <v>342</v>
      </c>
      <c r="F79" s="8">
        <v>6</v>
      </c>
      <c r="G79" s="8">
        <v>359399</v>
      </c>
      <c r="H79" s="8">
        <v>104485</v>
      </c>
      <c r="I79" s="8">
        <v>34509</v>
      </c>
      <c r="J79" s="8">
        <v>121040</v>
      </c>
      <c r="K79" s="8">
        <v>99420</v>
      </c>
      <c r="L79" s="8">
        <f t="shared" si="3"/>
        <v>99365</v>
      </c>
      <c r="M79" s="35">
        <f t="shared" si="4"/>
        <v>0.27647544929173423</v>
      </c>
      <c r="N79" s="11" t="str">
        <f t="shared" si="5"/>
        <v>ERROR</v>
      </c>
    </row>
    <row r="80" spans="1:14" x14ac:dyDescent="0.3">
      <c r="A80" s="5" t="s">
        <v>685</v>
      </c>
      <c r="B80" s="5" t="s">
        <v>68</v>
      </c>
      <c r="C80" s="5" t="s">
        <v>82</v>
      </c>
      <c r="D80" s="5">
        <v>235</v>
      </c>
      <c r="E80" s="5">
        <v>203</v>
      </c>
      <c r="F80" s="5">
        <v>32</v>
      </c>
      <c r="G80" s="5">
        <v>215549</v>
      </c>
      <c r="H80" s="5">
        <v>57183</v>
      </c>
      <c r="I80" s="5">
        <v>19312</v>
      </c>
      <c r="J80" s="5">
        <v>66270</v>
      </c>
      <c r="K80" s="5">
        <v>72744</v>
      </c>
      <c r="L80" s="5">
        <f t="shared" si="3"/>
        <v>72784</v>
      </c>
      <c r="M80" s="35">
        <f t="shared" si="4"/>
        <v>0.33766800124333679</v>
      </c>
      <c r="N80" s="11" t="str">
        <f t="shared" si="5"/>
        <v>ERROR</v>
      </c>
    </row>
    <row r="81" spans="1:14" x14ac:dyDescent="0.3">
      <c r="A81" s="8" t="s">
        <v>685</v>
      </c>
      <c r="B81" s="8" t="s">
        <v>68</v>
      </c>
      <c r="C81" s="8" t="s">
        <v>105</v>
      </c>
      <c r="D81" s="8">
        <v>64</v>
      </c>
      <c r="E81" s="8">
        <v>55</v>
      </c>
      <c r="F81" s="8">
        <v>9</v>
      </c>
      <c r="G81" s="8">
        <v>16833</v>
      </c>
      <c r="H81" s="8">
        <v>3130</v>
      </c>
      <c r="I81" s="8">
        <v>1402</v>
      </c>
      <c r="J81" s="8">
        <v>5282</v>
      </c>
      <c r="K81" s="8">
        <v>6989</v>
      </c>
      <c r="L81" s="8">
        <f t="shared" si="3"/>
        <v>7019</v>
      </c>
      <c r="M81" s="35">
        <f t="shared" si="4"/>
        <v>0.41697855403077289</v>
      </c>
      <c r="N81" s="11" t="str">
        <f t="shared" si="5"/>
        <v>ERROR</v>
      </c>
    </row>
    <row r="82" spans="1:14" x14ac:dyDescent="0.3">
      <c r="A82" s="5" t="s">
        <v>685</v>
      </c>
      <c r="B82" s="5" t="s">
        <v>74</v>
      </c>
      <c r="C82" s="5" t="s">
        <v>61</v>
      </c>
      <c r="D82" s="5">
        <v>152</v>
      </c>
      <c r="E82" s="5">
        <v>137</v>
      </c>
      <c r="F82" s="5">
        <v>15</v>
      </c>
      <c r="G82" s="5">
        <v>102681</v>
      </c>
      <c r="H82" s="5">
        <v>26160</v>
      </c>
      <c r="I82" s="5">
        <v>10525</v>
      </c>
      <c r="J82" s="5">
        <v>28591</v>
      </c>
      <c r="K82" s="5">
        <v>37599</v>
      </c>
      <c r="L82" s="5">
        <f t="shared" si="3"/>
        <v>37405</v>
      </c>
      <c r="M82" s="35">
        <f t="shared" si="4"/>
        <v>0.3642835578149804</v>
      </c>
      <c r="N82" s="11" t="str">
        <f t="shared" si="5"/>
        <v>ERROR</v>
      </c>
    </row>
    <row r="83" spans="1:14" x14ac:dyDescent="0.3">
      <c r="A83" s="8" t="s">
        <v>685</v>
      </c>
      <c r="B83" s="8" t="s">
        <v>74</v>
      </c>
      <c r="C83" s="8" t="s">
        <v>75</v>
      </c>
      <c r="D83" s="8">
        <v>216</v>
      </c>
      <c r="E83" s="8">
        <v>201</v>
      </c>
      <c r="F83" s="8">
        <v>15</v>
      </c>
      <c r="G83" s="8">
        <v>104446</v>
      </c>
      <c r="H83" s="8">
        <v>16496</v>
      </c>
      <c r="I83" s="8">
        <v>15127</v>
      </c>
      <c r="J83" s="8">
        <v>29884</v>
      </c>
      <c r="K83" s="8">
        <v>43219</v>
      </c>
      <c r="L83" s="8">
        <f t="shared" si="3"/>
        <v>42939</v>
      </c>
      <c r="M83" s="35">
        <f t="shared" si="4"/>
        <v>0.41111196216226564</v>
      </c>
      <c r="N83" s="11" t="str">
        <f t="shared" si="5"/>
        <v>ERROR</v>
      </c>
    </row>
    <row r="84" spans="1:14" x14ac:dyDescent="0.3">
      <c r="A84" s="5" t="s">
        <v>685</v>
      </c>
      <c r="B84" s="5" t="s">
        <v>74</v>
      </c>
      <c r="C84" s="5" t="s">
        <v>82</v>
      </c>
      <c r="D84" s="5">
        <v>398</v>
      </c>
      <c r="E84" s="5">
        <v>347</v>
      </c>
      <c r="F84" s="5">
        <v>51</v>
      </c>
      <c r="G84" s="5">
        <v>319215</v>
      </c>
      <c r="H84" s="5">
        <v>57598</v>
      </c>
      <c r="I84" s="5">
        <v>45484</v>
      </c>
      <c r="J84" s="5">
        <v>76011</v>
      </c>
      <c r="K84" s="5">
        <v>140505</v>
      </c>
      <c r="L84" s="5">
        <f t="shared" si="3"/>
        <v>140122</v>
      </c>
      <c r="M84" s="35">
        <f t="shared" si="4"/>
        <v>0.43895806901304762</v>
      </c>
      <c r="N84" s="11" t="str">
        <f t="shared" si="5"/>
        <v>ERROR</v>
      </c>
    </row>
    <row r="85" spans="1:14" x14ac:dyDescent="0.3">
      <c r="A85" s="8" t="s">
        <v>685</v>
      </c>
      <c r="B85" s="8" t="s">
        <v>74</v>
      </c>
      <c r="C85" s="8" t="s">
        <v>105</v>
      </c>
      <c r="D85" s="8">
        <v>474</v>
      </c>
      <c r="E85" s="8">
        <v>417</v>
      </c>
      <c r="F85" s="8">
        <v>57</v>
      </c>
      <c r="G85" s="8">
        <v>478187</v>
      </c>
      <c r="H85" s="8">
        <v>141494</v>
      </c>
      <c r="I85" s="8">
        <v>56151</v>
      </c>
      <c r="J85" s="8">
        <v>160579</v>
      </c>
      <c r="K85" s="8">
        <v>119674</v>
      </c>
      <c r="L85" s="8">
        <f t="shared" si="3"/>
        <v>119963</v>
      </c>
      <c r="M85" s="35">
        <f t="shared" si="4"/>
        <v>0.25087047535796664</v>
      </c>
      <c r="N85" s="11" t="str">
        <f t="shared" si="5"/>
        <v>ERROR</v>
      </c>
    </row>
    <row r="86" spans="1:14" x14ac:dyDescent="0.3">
      <c r="A86" s="5" t="s">
        <v>685</v>
      </c>
      <c r="B86" s="5" t="s">
        <v>81</v>
      </c>
      <c r="C86" s="5" t="s">
        <v>61</v>
      </c>
      <c r="D86" s="5">
        <v>342</v>
      </c>
      <c r="E86" s="5">
        <v>308</v>
      </c>
      <c r="F86" s="5">
        <v>34</v>
      </c>
      <c r="G86" s="5">
        <v>344802</v>
      </c>
      <c r="H86" s="5">
        <v>94972</v>
      </c>
      <c r="I86" s="5">
        <v>39632</v>
      </c>
      <c r="J86" s="5">
        <v>94917</v>
      </c>
      <c r="K86" s="5">
        <v>114938</v>
      </c>
      <c r="L86" s="5">
        <f t="shared" si="3"/>
        <v>115281</v>
      </c>
      <c r="M86" s="35">
        <f t="shared" si="4"/>
        <v>0.33433970800633406</v>
      </c>
      <c r="N86" s="11" t="str">
        <f t="shared" si="5"/>
        <v>ERROR</v>
      </c>
    </row>
    <row r="87" spans="1:14" x14ac:dyDescent="0.3">
      <c r="A87" s="8" t="s">
        <v>685</v>
      </c>
      <c r="B87" s="8" t="s">
        <v>81</v>
      </c>
      <c r="C87" s="8" t="s">
        <v>75</v>
      </c>
      <c r="D87" s="8">
        <v>385</v>
      </c>
      <c r="E87" s="8">
        <v>359</v>
      </c>
      <c r="F87" s="8">
        <v>26</v>
      </c>
      <c r="G87" s="8">
        <v>287778</v>
      </c>
      <c r="H87" s="8">
        <v>68787</v>
      </c>
      <c r="I87" s="8">
        <v>34203</v>
      </c>
      <c r="J87" s="8">
        <v>77382</v>
      </c>
      <c r="K87" s="8">
        <v>106917</v>
      </c>
      <c r="L87" s="8">
        <f t="shared" si="3"/>
        <v>107406</v>
      </c>
      <c r="M87" s="35">
        <f t="shared" si="4"/>
        <v>0.37322519442069929</v>
      </c>
      <c r="N87" s="11" t="str">
        <f t="shared" si="5"/>
        <v>ERROR</v>
      </c>
    </row>
    <row r="88" spans="1:14" x14ac:dyDescent="0.3">
      <c r="A88" s="5" t="s">
        <v>685</v>
      </c>
      <c r="B88" s="5" t="s">
        <v>81</v>
      </c>
      <c r="C88" s="5" t="s">
        <v>82</v>
      </c>
      <c r="D88" s="5">
        <v>355</v>
      </c>
      <c r="E88" s="5">
        <v>339</v>
      </c>
      <c r="F88" s="5">
        <v>16</v>
      </c>
      <c r="G88" s="5">
        <v>366479</v>
      </c>
      <c r="H88" s="5">
        <v>93509</v>
      </c>
      <c r="I88" s="5">
        <v>43589</v>
      </c>
      <c r="J88" s="5">
        <v>85007</v>
      </c>
      <c r="K88" s="5">
        <v>144530</v>
      </c>
      <c r="L88" s="5">
        <f t="shared" si="3"/>
        <v>144374</v>
      </c>
      <c r="M88" s="35">
        <f t="shared" si="4"/>
        <v>0.39394890293850399</v>
      </c>
      <c r="N88" s="11" t="str">
        <f t="shared" si="5"/>
        <v>ERROR</v>
      </c>
    </row>
    <row r="89" spans="1:14" x14ac:dyDescent="0.3">
      <c r="A89" s="8" t="s">
        <v>685</v>
      </c>
      <c r="B89" s="8" t="s">
        <v>81</v>
      </c>
      <c r="C89" s="8" t="s">
        <v>105</v>
      </c>
      <c r="D89" s="8">
        <v>199</v>
      </c>
      <c r="E89" s="8">
        <v>191</v>
      </c>
      <c r="F89" s="8">
        <v>8</v>
      </c>
      <c r="G89" s="8">
        <v>61444</v>
      </c>
      <c r="H89" s="8">
        <v>9604</v>
      </c>
      <c r="I89" s="8">
        <v>4261</v>
      </c>
      <c r="J89" s="8">
        <v>20167</v>
      </c>
      <c r="K89" s="8">
        <v>27341</v>
      </c>
      <c r="L89" s="8">
        <f t="shared" si="3"/>
        <v>27412</v>
      </c>
      <c r="M89" s="35">
        <f t="shared" si="4"/>
        <v>0.4461298092572098</v>
      </c>
      <c r="N89" s="11" t="str">
        <f t="shared" si="5"/>
        <v>ERROR</v>
      </c>
    </row>
    <row r="90" spans="1:14" x14ac:dyDescent="0.3">
      <c r="A90" s="5" t="s">
        <v>685</v>
      </c>
      <c r="B90" s="5" t="s">
        <v>88</v>
      </c>
      <c r="C90" s="5" t="s">
        <v>61</v>
      </c>
      <c r="D90" s="5">
        <v>163</v>
      </c>
      <c r="E90" s="5">
        <v>158</v>
      </c>
      <c r="F90" s="5">
        <v>5</v>
      </c>
      <c r="G90" s="5">
        <v>182999</v>
      </c>
      <c r="H90" s="5">
        <v>33311</v>
      </c>
      <c r="I90" s="5">
        <v>13278</v>
      </c>
      <c r="J90" s="5">
        <v>46870</v>
      </c>
      <c r="K90" s="5">
        <v>89116</v>
      </c>
      <c r="L90" s="5">
        <f t="shared" si="3"/>
        <v>89540</v>
      </c>
      <c r="M90" s="35">
        <f t="shared" si="4"/>
        <v>0.48929229121470608</v>
      </c>
      <c r="N90" s="11" t="str">
        <f t="shared" si="5"/>
        <v>ERROR</v>
      </c>
    </row>
    <row r="91" spans="1:14" x14ac:dyDescent="0.3">
      <c r="A91" s="8" t="s">
        <v>685</v>
      </c>
      <c r="B91" s="8" t="s">
        <v>88</v>
      </c>
      <c r="C91" s="8" t="s">
        <v>75</v>
      </c>
      <c r="D91" s="8">
        <v>454</v>
      </c>
      <c r="E91" s="8">
        <v>393</v>
      </c>
      <c r="F91" s="8">
        <v>61</v>
      </c>
      <c r="G91" s="8">
        <v>140320</v>
      </c>
      <c r="H91" s="8">
        <v>40814</v>
      </c>
      <c r="I91" s="8">
        <v>12578</v>
      </c>
      <c r="J91" s="8">
        <v>29541</v>
      </c>
      <c r="K91" s="8">
        <v>57104</v>
      </c>
      <c r="L91" s="8">
        <f t="shared" si="3"/>
        <v>57387</v>
      </c>
      <c r="M91" s="35">
        <f t="shared" si="4"/>
        <v>0.40897234891676171</v>
      </c>
      <c r="N91" s="11" t="str">
        <f t="shared" si="5"/>
        <v>ERROR</v>
      </c>
    </row>
    <row r="92" spans="1:14" x14ac:dyDescent="0.3">
      <c r="A92" s="5" t="s">
        <v>685</v>
      </c>
      <c r="B92" s="5" t="s">
        <v>88</v>
      </c>
      <c r="C92" s="5" t="s">
        <v>82</v>
      </c>
      <c r="D92" s="5">
        <v>206</v>
      </c>
      <c r="E92" s="5">
        <v>195</v>
      </c>
      <c r="F92" s="5">
        <v>11</v>
      </c>
      <c r="G92" s="5">
        <v>138398</v>
      </c>
      <c r="H92" s="5">
        <v>27517</v>
      </c>
      <c r="I92" s="5">
        <v>14673</v>
      </c>
      <c r="J92" s="5">
        <v>45495</v>
      </c>
      <c r="K92" s="5">
        <v>50832</v>
      </c>
      <c r="L92" s="5">
        <f t="shared" si="3"/>
        <v>50713</v>
      </c>
      <c r="M92" s="35">
        <f t="shared" si="4"/>
        <v>0.3664287056171332</v>
      </c>
      <c r="N92" s="11" t="str">
        <f t="shared" si="5"/>
        <v>ERROR</v>
      </c>
    </row>
    <row r="93" spans="1:14" x14ac:dyDescent="0.3">
      <c r="A93" s="8" t="s">
        <v>685</v>
      </c>
      <c r="B93" s="8" t="s">
        <v>88</v>
      </c>
      <c r="C93" s="8" t="s">
        <v>105</v>
      </c>
      <c r="D93" s="8">
        <v>162</v>
      </c>
      <c r="E93" s="8">
        <v>139</v>
      </c>
      <c r="F93" s="8">
        <v>23</v>
      </c>
      <c r="G93" s="8">
        <v>107757</v>
      </c>
      <c r="H93" s="8">
        <v>19712</v>
      </c>
      <c r="I93" s="8">
        <v>15167</v>
      </c>
      <c r="J93" s="8">
        <v>36904</v>
      </c>
      <c r="K93" s="8">
        <v>35979</v>
      </c>
      <c r="L93" s="8">
        <f t="shared" si="3"/>
        <v>35974</v>
      </c>
      <c r="M93" s="35">
        <f t="shared" si="4"/>
        <v>0.3338437410098648</v>
      </c>
      <c r="N93" s="11" t="str">
        <f t="shared" si="5"/>
        <v>ERROR</v>
      </c>
    </row>
    <row r="94" spans="1:14" x14ac:dyDescent="0.3">
      <c r="A94" s="5" t="s">
        <v>685</v>
      </c>
      <c r="B94" s="5" t="s">
        <v>92</v>
      </c>
      <c r="C94" s="5" t="s">
        <v>61</v>
      </c>
      <c r="D94" s="5">
        <v>258</v>
      </c>
      <c r="E94" s="5">
        <v>251</v>
      </c>
      <c r="F94" s="5">
        <v>7</v>
      </c>
      <c r="G94" s="5">
        <v>181597</v>
      </c>
      <c r="H94" s="5">
        <v>34171</v>
      </c>
      <c r="I94" s="5">
        <v>10422</v>
      </c>
      <c r="J94" s="5">
        <v>52223</v>
      </c>
      <c r="K94" s="5">
        <v>85001</v>
      </c>
      <c r="L94" s="5">
        <f t="shared" si="3"/>
        <v>84781</v>
      </c>
      <c r="M94" s="35">
        <f t="shared" si="4"/>
        <v>0.46686343937399849</v>
      </c>
      <c r="N94" s="11" t="str">
        <f t="shared" si="5"/>
        <v>ERROR</v>
      </c>
    </row>
    <row r="95" spans="1:14" x14ac:dyDescent="0.3">
      <c r="A95" s="8" t="s">
        <v>685</v>
      </c>
      <c r="B95" s="8" t="s">
        <v>92</v>
      </c>
      <c r="C95" s="8" t="s">
        <v>75</v>
      </c>
      <c r="D95" s="8">
        <v>246</v>
      </c>
      <c r="E95" s="8">
        <v>233</v>
      </c>
      <c r="F95" s="8">
        <v>13</v>
      </c>
      <c r="G95" s="8">
        <v>265331</v>
      </c>
      <c r="H95" s="8">
        <v>43654</v>
      </c>
      <c r="I95" s="8">
        <v>21920</v>
      </c>
      <c r="J95" s="8">
        <v>83628</v>
      </c>
      <c r="K95" s="8">
        <v>116345</v>
      </c>
      <c r="L95" s="8">
        <f t="shared" si="3"/>
        <v>116129</v>
      </c>
      <c r="M95" s="35">
        <f t="shared" si="4"/>
        <v>0.43767595946195509</v>
      </c>
      <c r="N95" s="11" t="str">
        <f t="shared" si="5"/>
        <v>ERROR</v>
      </c>
    </row>
    <row r="96" spans="1:14" x14ac:dyDescent="0.3">
      <c r="A96" s="5" t="s">
        <v>685</v>
      </c>
      <c r="B96" s="5" t="s">
        <v>92</v>
      </c>
      <c r="C96" s="5" t="s">
        <v>82</v>
      </c>
      <c r="D96" s="5">
        <v>470</v>
      </c>
      <c r="E96" s="5">
        <v>455</v>
      </c>
      <c r="F96" s="5">
        <v>15</v>
      </c>
      <c r="G96" s="5">
        <v>314911</v>
      </c>
      <c r="H96" s="5">
        <v>59749</v>
      </c>
      <c r="I96" s="5">
        <v>21908</v>
      </c>
      <c r="J96" s="5">
        <v>107532</v>
      </c>
      <c r="K96" s="5">
        <v>126090</v>
      </c>
      <c r="L96" s="5">
        <f t="shared" si="3"/>
        <v>125722</v>
      </c>
      <c r="M96" s="35">
        <f t="shared" si="4"/>
        <v>0.39923025870801593</v>
      </c>
      <c r="N96" s="11" t="str">
        <f t="shared" si="5"/>
        <v>ERROR</v>
      </c>
    </row>
    <row r="97" spans="1:14" x14ac:dyDescent="0.3">
      <c r="A97" s="8" t="s">
        <v>685</v>
      </c>
      <c r="B97" s="8" t="s">
        <v>92</v>
      </c>
      <c r="C97" s="8" t="s">
        <v>105</v>
      </c>
      <c r="D97" s="8">
        <v>262</v>
      </c>
      <c r="E97" s="8">
        <v>254</v>
      </c>
      <c r="F97" s="8">
        <v>8</v>
      </c>
      <c r="G97" s="8">
        <v>104818</v>
      </c>
      <c r="H97" s="8">
        <v>27984</v>
      </c>
      <c r="I97" s="8">
        <v>7713</v>
      </c>
      <c r="J97" s="8">
        <v>24756</v>
      </c>
      <c r="K97" s="8">
        <v>44136</v>
      </c>
      <c r="L97" s="8">
        <f t="shared" si="3"/>
        <v>44365</v>
      </c>
      <c r="M97" s="35">
        <f t="shared" si="4"/>
        <v>0.42325745578049573</v>
      </c>
      <c r="N97" s="11" t="str">
        <f t="shared" si="5"/>
        <v>ERROR</v>
      </c>
    </row>
    <row r="100" spans="1:14" x14ac:dyDescent="0.3">
      <c r="C100">
        <f>SUM(G:G)</f>
        <v>16967177</v>
      </c>
      <c r="D100">
        <f>SUM(H:H)</f>
        <v>3910162</v>
      </c>
      <c r="E100">
        <f>SUM(I:I)</f>
        <v>1664580</v>
      </c>
      <c r="F100">
        <f>SUM(J:J)</f>
        <v>4624231</v>
      </c>
    </row>
  </sheetData>
  <conditionalFormatting sqref="A2:N97">
    <cfRule type="expression" dxfId="5" priority="1">
      <formula>$N2="ERROR"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CCB29-65D4-4E33-8E60-F5E0BBF0F649}">
  <dimension ref="A1:P22"/>
  <sheetViews>
    <sheetView zoomScale="74" workbookViewId="0">
      <selection activeCell="J5" sqref="J5"/>
    </sheetView>
  </sheetViews>
  <sheetFormatPr defaultRowHeight="14.4" x14ac:dyDescent="0.3"/>
  <cols>
    <col min="1" max="1" width="14.5546875" customWidth="1"/>
    <col min="2" max="2" width="12.77734375" customWidth="1"/>
    <col min="3" max="3" width="18.109375" customWidth="1"/>
    <col min="4" max="4" width="13.77734375" customWidth="1"/>
    <col min="5" max="5" width="19.44140625" customWidth="1"/>
    <col min="6" max="6" width="21.44140625" customWidth="1"/>
    <col min="7" max="7" width="20.44140625" customWidth="1"/>
    <col min="8" max="8" width="16.5546875" customWidth="1"/>
    <col min="9" max="9" width="15.5546875" customWidth="1"/>
    <col min="10" max="10" width="20.77734375" customWidth="1"/>
    <col min="11" max="11" width="15.88671875" customWidth="1"/>
    <col min="12" max="12" width="19.6640625" customWidth="1"/>
    <col min="13" max="13" width="24.88671875" customWidth="1"/>
    <col min="14" max="14" width="25.5546875" customWidth="1"/>
    <col min="15" max="15" width="19.44140625" customWidth="1"/>
    <col min="16" max="16" width="18.6640625" customWidth="1"/>
  </cols>
  <sheetData>
    <row r="1" spans="1:16" ht="20.399999999999999" customHeight="1" x14ac:dyDescent="0.4">
      <c r="A1" s="72" t="s">
        <v>716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37"/>
    </row>
    <row r="3" spans="1:16" ht="15.6" x14ac:dyDescent="0.3">
      <c r="A3" s="80" t="s">
        <v>710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2"/>
    </row>
    <row r="4" spans="1:16" ht="19.8" customHeight="1" x14ac:dyDescent="0.3">
      <c r="A4" s="4" t="s">
        <v>39</v>
      </c>
      <c r="B4" s="4" t="s">
        <v>40</v>
      </c>
      <c r="C4" s="4" t="s">
        <v>41</v>
      </c>
      <c r="D4" s="4" t="s">
        <v>42</v>
      </c>
      <c r="E4" s="4" t="s">
        <v>43</v>
      </c>
      <c r="F4" s="4" t="s">
        <v>44</v>
      </c>
      <c r="G4" s="4" t="s">
        <v>45</v>
      </c>
      <c r="H4" s="4" t="s">
        <v>46</v>
      </c>
      <c r="I4" s="4" t="s">
        <v>47</v>
      </c>
      <c r="J4" s="4" t="s">
        <v>48</v>
      </c>
      <c r="K4" s="4" t="s">
        <v>49</v>
      </c>
      <c r="L4" s="4" t="s">
        <v>50</v>
      </c>
      <c r="M4" s="4" t="s">
        <v>51</v>
      </c>
      <c r="N4" s="4" t="s">
        <v>52</v>
      </c>
      <c r="O4" s="4" t="s">
        <v>53</v>
      </c>
    </row>
    <row r="5" spans="1:16" x14ac:dyDescent="0.3">
      <c r="A5" s="5" t="s">
        <v>116</v>
      </c>
      <c r="B5" s="5" t="s">
        <v>85</v>
      </c>
      <c r="C5" s="5" t="s">
        <v>117</v>
      </c>
      <c r="D5" s="5">
        <v>2019</v>
      </c>
      <c r="E5" s="5" t="s">
        <v>66</v>
      </c>
      <c r="F5" s="5" t="s">
        <v>67</v>
      </c>
      <c r="G5" s="6">
        <v>89000</v>
      </c>
      <c r="H5" s="5" t="s">
        <v>87</v>
      </c>
      <c r="I5" s="5" t="s">
        <v>60</v>
      </c>
      <c r="J5" s="5" t="s">
        <v>61</v>
      </c>
      <c r="K5" s="5">
        <v>11.5</v>
      </c>
      <c r="L5" s="5" t="s">
        <v>118</v>
      </c>
      <c r="M5" s="7">
        <v>18500</v>
      </c>
      <c r="N5" s="7">
        <v>1150</v>
      </c>
      <c r="O5" s="5">
        <v>3.5</v>
      </c>
    </row>
    <row r="6" spans="1:16" x14ac:dyDescent="0.3">
      <c r="A6" s="5" t="s">
        <v>161</v>
      </c>
      <c r="B6" s="5" t="s">
        <v>85</v>
      </c>
      <c r="C6" s="5" t="s">
        <v>162</v>
      </c>
      <c r="D6" s="5">
        <v>2019</v>
      </c>
      <c r="E6" s="5" t="s">
        <v>66</v>
      </c>
      <c r="F6" s="5" t="s">
        <v>67</v>
      </c>
      <c r="G6" s="6">
        <v>95000</v>
      </c>
      <c r="H6" s="5" t="s">
        <v>59</v>
      </c>
      <c r="I6" s="5" t="s">
        <v>74</v>
      </c>
      <c r="J6" s="5" t="s">
        <v>82</v>
      </c>
      <c r="K6" s="5">
        <v>10.5</v>
      </c>
      <c r="L6" s="5" t="s">
        <v>163</v>
      </c>
      <c r="M6" s="7">
        <v>19800</v>
      </c>
      <c r="N6" s="7">
        <v>780</v>
      </c>
      <c r="O6" s="5">
        <v>3.4</v>
      </c>
    </row>
    <row r="8" spans="1:16" ht="15.6" x14ac:dyDescent="0.3">
      <c r="A8" s="74" t="s">
        <v>711</v>
      </c>
      <c r="B8" s="75"/>
      <c r="C8" s="75"/>
      <c r="D8" s="75"/>
      <c r="E8" s="75"/>
      <c r="F8" s="75"/>
      <c r="G8" s="75"/>
      <c r="H8" s="75"/>
      <c r="I8" s="75"/>
      <c r="J8" s="75"/>
    </row>
    <row r="9" spans="1:16" ht="31.2" x14ac:dyDescent="0.3">
      <c r="A9" s="4" t="s">
        <v>47</v>
      </c>
      <c r="B9" s="4" t="s">
        <v>392</v>
      </c>
      <c r="C9" s="4" t="s">
        <v>393</v>
      </c>
      <c r="D9" s="4" t="s">
        <v>394</v>
      </c>
      <c r="E9" s="4" t="s">
        <v>395</v>
      </c>
      <c r="F9" s="4" t="s">
        <v>396</v>
      </c>
      <c r="G9" s="4" t="s">
        <v>397</v>
      </c>
      <c r="H9" s="4" t="s">
        <v>398</v>
      </c>
      <c r="I9" s="4" t="s">
        <v>46</v>
      </c>
      <c r="J9" s="4" t="s">
        <v>399</v>
      </c>
    </row>
    <row r="10" spans="1:16" x14ac:dyDescent="0.3">
      <c r="A10" s="8" t="s">
        <v>88</v>
      </c>
      <c r="B10" s="8" t="s">
        <v>405</v>
      </c>
      <c r="C10" s="8">
        <v>14</v>
      </c>
      <c r="D10" s="8">
        <v>1769</v>
      </c>
      <c r="E10" s="8">
        <v>3.7</v>
      </c>
      <c r="F10" s="8">
        <v>28000</v>
      </c>
      <c r="G10" s="8">
        <v>647</v>
      </c>
      <c r="H10" s="8">
        <v>8</v>
      </c>
      <c r="I10" s="8" t="s">
        <v>59</v>
      </c>
      <c r="J10" s="8" t="s">
        <v>411</v>
      </c>
    </row>
    <row r="11" spans="1:16" x14ac:dyDescent="0.3">
      <c r="A11" s="8" t="s">
        <v>92</v>
      </c>
      <c r="B11" s="8" t="s">
        <v>401</v>
      </c>
      <c r="C11" s="8">
        <v>13</v>
      </c>
      <c r="D11" s="8">
        <v>2527</v>
      </c>
      <c r="E11" s="8">
        <v>3.9</v>
      </c>
      <c r="F11" s="8">
        <v>18000</v>
      </c>
      <c r="G11" s="8">
        <v>7060</v>
      </c>
      <c r="H11" s="8">
        <v>6</v>
      </c>
      <c r="I11" s="8" t="s">
        <v>59</v>
      </c>
      <c r="J11" s="8" t="s">
        <v>429</v>
      </c>
    </row>
    <row r="12" spans="1:16" x14ac:dyDescent="0.3">
      <c r="A12" s="5" t="s">
        <v>68</v>
      </c>
      <c r="B12" s="5" t="s">
        <v>405</v>
      </c>
      <c r="C12" s="5">
        <v>4</v>
      </c>
      <c r="D12" s="5">
        <v>2619</v>
      </c>
      <c r="E12" s="5">
        <v>3.2</v>
      </c>
      <c r="F12" s="5">
        <v>18000</v>
      </c>
      <c r="G12" s="5">
        <v>7689</v>
      </c>
      <c r="H12" s="5">
        <v>6</v>
      </c>
      <c r="I12" s="5" t="s">
        <v>59</v>
      </c>
      <c r="J12" s="5" t="s">
        <v>438</v>
      </c>
    </row>
    <row r="13" spans="1:16" x14ac:dyDescent="0.3">
      <c r="A13" s="5" t="s">
        <v>81</v>
      </c>
      <c r="B13" s="5" t="s">
        <v>401</v>
      </c>
      <c r="C13" s="5">
        <v>12</v>
      </c>
      <c r="D13" s="5">
        <v>2149</v>
      </c>
      <c r="E13" s="5">
        <v>3.4</v>
      </c>
      <c r="F13" s="5">
        <v>25000</v>
      </c>
      <c r="G13" s="5">
        <v>4581</v>
      </c>
      <c r="H13" s="5">
        <v>6</v>
      </c>
      <c r="I13" s="5" t="s">
        <v>59</v>
      </c>
      <c r="J13" s="5" t="s">
        <v>442</v>
      </c>
    </row>
    <row r="14" spans="1:16" x14ac:dyDescent="0.3">
      <c r="A14" s="8" t="s">
        <v>60</v>
      </c>
      <c r="B14" s="8" t="s">
        <v>405</v>
      </c>
      <c r="C14" s="8">
        <v>6</v>
      </c>
      <c r="D14" s="8">
        <v>3529</v>
      </c>
      <c r="E14" s="8">
        <v>3.8</v>
      </c>
      <c r="F14" s="8">
        <v>18000</v>
      </c>
      <c r="G14" s="8">
        <v>622</v>
      </c>
      <c r="H14" s="8">
        <v>8</v>
      </c>
      <c r="I14" s="8" t="s">
        <v>59</v>
      </c>
      <c r="J14" s="8" t="s">
        <v>498</v>
      </c>
    </row>
    <row r="16" spans="1:16" ht="15.6" x14ac:dyDescent="0.3">
      <c r="A16" s="77" t="s">
        <v>715</v>
      </c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9"/>
    </row>
    <row r="17" spans="1:16" ht="15.6" x14ac:dyDescent="0.3">
      <c r="A17" s="4" t="s">
        <v>39</v>
      </c>
      <c r="B17" s="4" t="s">
        <v>40</v>
      </c>
      <c r="C17" s="4" t="s">
        <v>41</v>
      </c>
      <c r="D17" s="4" t="s">
        <v>42</v>
      </c>
      <c r="E17" s="4" t="s">
        <v>43</v>
      </c>
      <c r="F17" s="4" t="s">
        <v>44</v>
      </c>
      <c r="G17" s="4" t="s">
        <v>45</v>
      </c>
      <c r="H17" s="4" t="s">
        <v>46</v>
      </c>
      <c r="I17" s="4" t="s">
        <v>47</v>
      </c>
      <c r="J17" s="4" t="s">
        <v>48</v>
      </c>
      <c r="K17" s="4" t="s">
        <v>49</v>
      </c>
      <c r="L17" s="4" t="s">
        <v>50</v>
      </c>
      <c r="M17" s="4" t="s">
        <v>51</v>
      </c>
      <c r="N17" s="4" t="s">
        <v>52</v>
      </c>
      <c r="O17" s="4" t="s">
        <v>53</v>
      </c>
    </row>
    <row r="18" spans="1:16" x14ac:dyDescent="0.3">
      <c r="A18" s="76" t="s">
        <v>713</v>
      </c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</row>
    <row r="20" spans="1:16" ht="15.6" x14ac:dyDescent="0.3">
      <c r="A20" s="69" t="s">
        <v>714</v>
      </c>
      <c r="B20" s="70"/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1"/>
      <c r="P20" s="36"/>
    </row>
    <row r="21" spans="1:16" ht="15.6" x14ac:dyDescent="0.3">
      <c r="A21" s="4" t="s">
        <v>173</v>
      </c>
      <c r="B21" s="4" t="s">
        <v>39</v>
      </c>
      <c r="C21" s="4" t="s">
        <v>174</v>
      </c>
      <c r="D21" s="4" t="s">
        <v>175</v>
      </c>
      <c r="E21" s="4" t="s">
        <v>47</v>
      </c>
      <c r="F21" s="4" t="s">
        <v>48</v>
      </c>
      <c r="G21" s="4" t="s">
        <v>176</v>
      </c>
      <c r="H21" s="4" t="s">
        <v>177</v>
      </c>
      <c r="I21" s="4" t="s">
        <v>178</v>
      </c>
      <c r="J21" s="4" t="s">
        <v>179</v>
      </c>
      <c r="K21" s="4" t="s">
        <v>180</v>
      </c>
      <c r="L21" s="4" t="s">
        <v>181</v>
      </c>
      <c r="M21" s="4" t="s">
        <v>182</v>
      </c>
      <c r="N21" s="4" t="s">
        <v>183</v>
      </c>
      <c r="O21" s="4" t="s">
        <v>184</v>
      </c>
      <c r="P21" s="4" t="s">
        <v>712</v>
      </c>
    </row>
    <row r="22" spans="1:16" x14ac:dyDescent="0.3">
      <c r="A22" s="67" t="s">
        <v>713</v>
      </c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</row>
  </sheetData>
  <mergeCells count="7">
    <mergeCell ref="A22:P22"/>
    <mergeCell ref="A20:O20"/>
    <mergeCell ref="A1:O1"/>
    <mergeCell ref="A8:J8"/>
    <mergeCell ref="A18:O18"/>
    <mergeCell ref="A16:O16"/>
    <mergeCell ref="A3:O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92817-ABC3-475D-8FD5-D2303AA11BAA}">
  <dimension ref="A1:S38"/>
  <sheetViews>
    <sheetView zoomScale="67" workbookViewId="0">
      <selection activeCell="X12" sqref="X12"/>
    </sheetView>
  </sheetViews>
  <sheetFormatPr defaultRowHeight="14.4" x14ac:dyDescent="0.3"/>
  <cols>
    <col min="1" max="1" width="15.21875" bestFit="1" customWidth="1"/>
    <col min="2" max="2" width="18.77734375" bestFit="1" customWidth="1"/>
    <col min="3" max="3" width="12.77734375" customWidth="1"/>
    <col min="4" max="4" width="16.5546875" customWidth="1"/>
    <col min="5" max="5" width="13.21875" bestFit="1" customWidth="1"/>
    <col min="6" max="6" width="14.88671875" bestFit="1" customWidth="1"/>
    <col min="7" max="7" width="10" bestFit="1" customWidth="1"/>
    <col min="8" max="8" width="16.33203125" bestFit="1" customWidth="1"/>
    <col min="9" max="9" width="16.44140625" bestFit="1" customWidth="1"/>
    <col min="10" max="10" width="15.6640625" bestFit="1" customWidth="1"/>
    <col min="11" max="11" width="21.5546875" customWidth="1"/>
    <col min="12" max="12" width="14.5546875" customWidth="1"/>
    <col min="19" max="19" width="12.5546875" customWidth="1"/>
  </cols>
  <sheetData>
    <row r="1" spans="1:19" ht="21" x14ac:dyDescent="0.4">
      <c r="A1" s="83" t="s">
        <v>721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</row>
    <row r="3" spans="1:19" x14ac:dyDescent="0.3">
      <c r="A3" s="85" t="s">
        <v>722</v>
      </c>
      <c r="B3" s="86"/>
      <c r="C3" s="86"/>
      <c r="D3" s="86"/>
      <c r="E3" s="86"/>
      <c r="F3" s="86"/>
    </row>
    <row r="4" spans="1:19" x14ac:dyDescent="0.3">
      <c r="A4" s="38" t="s">
        <v>720</v>
      </c>
      <c r="B4" s="38" t="s">
        <v>719</v>
      </c>
    </row>
    <row r="5" spans="1:19" x14ac:dyDescent="0.3">
      <c r="A5" s="38" t="s">
        <v>717</v>
      </c>
      <c r="B5" t="s">
        <v>682</v>
      </c>
      <c r="C5" t="s">
        <v>683</v>
      </c>
      <c r="D5" t="s">
        <v>684</v>
      </c>
      <c r="E5" t="s">
        <v>685</v>
      </c>
      <c r="F5" t="s">
        <v>718</v>
      </c>
    </row>
    <row r="6" spans="1:19" x14ac:dyDescent="0.3">
      <c r="A6" s="40" t="s">
        <v>74</v>
      </c>
      <c r="B6" s="41">
        <v>433604</v>
      </c>
      <c r="C6" s="41">
        <v>864165</v>
      </c>
      <c r="D6" s="41">
        <v>822597</v>
      </c>
      <c r="E6" s="41">
        <v>1004529</v>
      </c>
      <c r="F6" s="41">
        <v>3124895</v>
      </c>
    </row>
    <row r="7" spans="1:19" x14ac:dyDescent="0.3">
      <c r="A7" s="40" t="s">
        <v>92</v>
      </c>
      <c r="B7" s="41">
        <v>1057346</v>
      </c>
      <c r="C7" s="41">
        <v>450498</v>
      </c>
      <c r="D7" s="41">
        <v>306400</v>
      </c>
      <c r="E7" s="41">
        <v>866657</v>
      </c>
      <c r="F7" s="41">
        <v>2680901</v>
      </c>
    </row>
    <row r="8" spans="1:19" x14ac:dyDescent="0.3">
      <c r="A8" s="40" t="s">
        <v>68</v>
      </c>
      <c r="B8" s="41">
        <v>538048</v>
      </c>
      <c r="C8" s="41">
        <v>1024075</v>
      </c>
      <c r="D8" s="41">
        <v>617248</v>
      </c>
      <c r="E8" s="41">
        <v>624249</v>
      </c>
      <c r="F8" s="41">
        <v>2803620</v>
      </c>
    </row>
    <row r="9" spans="1:19" x14ac:dyDescent="0.3">
      <c r="A9" s="40" t="s">
        <v>81</v>
      </c>
      <c r="B9" s="41">
        <v>457659</v>
      </c>
      <c r="C9" s="41">
        <v>542406</v>
      </c>
      <c r="D9" s="41">
        <v>903625</v>
      </c>
      <c r="E9" s="41">
        <v>1060503</v>
      </c>
      <c r="F9" s="41">
        <v>2964193</v>
      </c>
    </row>
    <row r="10" spans="1:19" x14ac:dyDescent="0.3">
      <c r="A10" s="40" t="s">
        <v>60</v>
      </c>
      <c r="B10" s="41">
        <v>471054</v>
      </c>
      <c r="C10" s="41">
        <v>942327</v>
      </c>
      <c r="D10" s="41">
        <v>722160</v>
      </c>
      <c r="E10" s="41">
        <v>643684</v>
      </c>
      <c r="F10" s="41">
        <v>2779225</v>
      </c>
    </row>
    <row r="11" spans="1:19" x14ac:dyDescent="0.3">
      <c r="A11" s="40" t="s">
        <v>88</v>
      </c>
      <c r="B11" s="41">
        <v>807403</v>
      </c>
      <c r="C11" s="41">
        <v>562598</v>
      </c>
      <c r="D11" s="41">
        <v>674868</v>
      </c>
      <c r="E11" s="41">
        <v>569474</v>
      </c>
      <c r="F11" s="41">
        <v>2614343</v>
      </c>
    </row>
    <row r="12" spans="1:19" x14ac:dyDescent="0.3">
      <c r="A12" s="39" t="s">
        <v>718</v>
      </c>
      <c r="B12" s="42">
        <v>3765114</v>
      </c>
      <c r="C12" s="42">
        <v>4386069</v>
      </c>
      <c r="D12" s="42">
        <v>4046898</v>
      </c>
      <c r="E12" s="42">
        <v>4769096</v>
      </c>
      <c r="F12" s="42">
        <v>16967177</v>
      </c>
    </row>
    <row r="15" spans="1:19" x14ac:dyDescent="0.3">
      <c r="A15" s="85" t="s">
        <v>724</v>
      </c>
      <c r="B15" s="86"/>
      <c r="C15" s="86"/>
      <c r="D15" s="86"/>
      <c r="E15" s="86"/>
      <c r="F15" s="86"/>
      <c r="G15" s="85"/>
      <c r="H15" s="86"/>
    </row>
    <row r="16" spans="1:19" x14ac:dyDescent="0.3">
      <c r="A16" s="38" t="s">
        <v>723</v>
      </c>
      <c r="B16" s="38" t="s">
        <v>719</v>
      </c>
    </row>
    <row r="17" spans="1:11" x14ac:dyDescent="0.3">
      <c r="A17" s="38" t="s">
        <v>717</v>
      </c>
      <c r="B17" t="s">
        <v>74</v>
      </c>
      <c r="C17" t="s">
        <v>92</v>
      </c>
      <c r="D17" t="s">
        <v>68</v>
      </c>
      <c r="E17" t="s">
        <v>81</v>
      </c>
      <c r="F17" t="s">
        <v>60</v>
      </c>
      <c r="G17" t="s">
        <v>88</v>
      </c>
      <c r="H17" t="s">
        <v>718</v>
      </c>
    </row>
    <row r="18" spans="1:11" x14ac:dyDescent="0.3">
      <c r="A18" s="40" t="s">
        <v>61</v>
      </c>
      <c r="B18" s="43">
        <v>3.3</v>
      </c>
      <c r="C18" s="43">
        <v>4.083333333333333</v>
      </c>
      <c r="D18" s="43">
        <v>4.1571428571428575</v>
      </c>
      <c r="E18" s="43">
        <v>4.2200000000000006</v>
      </c>
      <c r="F18" s="43">
        <v>3.8250000000000002</v>
      </c>
      <c r="G18" s="43">
        <v>3.7250000000000001</v>
      </c>
      <c r="H18" s="43">
        <v>3.9821428571428581</v>
      </c>
    </row>
    <row r="19" spans="1:11" x14ac:dyDescent="0.3">
      <c r="A19" s="40" t="s">
        <v>82</v>
      </c>
      <c r="B19" s="43">
        <v>4.2</v>
      </c>
      <c r="C19" s="43">
        <v>3.7399999999999998</v>
      </c>
      <c r="D19" s="43">
        <v>3.8</v>
      </c>
      <c r="E19" s="43">
        <v>3.5750000000000002</v>
      </c>
      <c r="F19" s="43">
        <v>3.45</v>
      </c>
      <c r="G19" s="43">
        <v>3.8</v>
      </c>
      <c r="H19" s="43">
        <v>3.7210526315789467</v>
      </c>
    </row>
    <row r="20" spans="1:11" x14ac:dyDescent="0.3">
      <c r="A20" s="40" t="s">
        <v>75</v>
      </c>
      <c r="B20" s="43">
        <v>3.35</v>
      </c>
      <c r="C20" s="43">
        <v>3.4333333333333336</v>
      </c>
      <c r="D20" s="43">
        <v>3.95</v>
      </c>
      <c r="E20" s="43">
        <v>3.6</v>
      </c>
      <c r="F20" s="43">
        <v>4.9000000000000004</v>
      </c>
      <c r="G20" s="43">
        <v>4.5999999999999996</v>
      </c>
      <c r="H20" s="43">
        <v>3.7153846153846151</v>
      </c>
    </row>
    <row r="21" spans="1:11" x14ac:dyDescent="0.3">
      <c r="A21" s="40" t="s">
        <v>105</v>
      </c>
      <c r="B21" s="43">
        <v>3.5</v>
      </c>
      <c r="C21" s="43">
        <v>3.5666666666666664</v>
      </c>
      <c r="D21" s="43">
        <v>3.4499999999999997</v>
      </c>
      <c r="E21" s="43">
        <v>3.4499999999999997</v>
      </c>
      <c r="F21" s="43">
        <v>3.1</v>
      </c>
      <c r="G21" s="43">
        <v>4.1500000000000004</v>
      </c>
      <c r="H21" s="43">
        <v>3.5300000000000002</v>
      </c>
    </row>
    <row r="22" spans="1:11" x14ac:dyDescent="0.3">
      <c r="A22" s="39" t="s">
        <v>718</v>
      </c>
      <c r="B22" s="28">
        <v>3.4727272727272722</v>
      </c>
      <c r="C22" s="28">
        <v>3.7764705882352945</v>
      </c>
      <c r="D22" s="28">
        <v>3.8777777777777769</v>
      </c>
      <c r="E22" s="28">
        <v>3.7235294117647064</v>
      </c>
      <c r="F22" s="28">
        <v>3.7750000000000004</v>
      </c>
      <c r="G22" s="28">
        <v>3.9333333333333331</v>
      </c>
      <c r="H22" s="28">
        <v>3.7637500000000004</v>
      </c>
    </row>
    <row r="26" spans="1:11" x14ac:dyDescent="0.3">
      <c r="A26" s="85" t="s">
        <v>726</v>
      </c>
      <c r="B26" s="86"/>
      <c r="C26" s="86"/>
      <c r="D26" s="86"/>
      <c r="E26" s="86"/>
      <c r="F26" s="86"/>
      <c r="G26" s="85"/>
      <c r="H26" s="86"/>
      <c r="I26" s="86"/>
      <c r="J26" s="86"/>
      <c r="K26" s="86"/>
    </row>
    <row r="27" spans="1:11" x14ac:dyDescent="0.3">
      <c r="A27" s="38" t="s">
        <v>725</v>
      </c>
      <c r="B27" s="38" t="s">
        <v>719</v>
      </c>
    </row>
    <row r="28" spans="1:11" x14ac:dyDescent="0.3">
      <c r="A28" s="38" t="s">
        <v>717</v>
      </c>
      <c r="B28" t="s">
        <v>517</v>
      </c>
      <c r="C28" t="s">
        <v>547</v>
      </c>
      <c r="D28" t="s">
        <v>530</v>
      </c>
      <c r="E28" t="s">
        <v>542</v>
      </c>
      <c r="F28" t="s">
        <v>560</v>
      </c>
      <c r="G28" t="s">
        <v>562</v>
      </c>
      <c r="H28" t="s">
        <v>580</v>
      </c>
      <c r="I28" t="s">
        <v>539</v>
      </c>
      <c r="J28" t="s">
        <v>534</v>
      </c>
      <c r="K28" t="s">
        <v>718</v>
      </c>
    </row>
    <row r="29" spans="1:11" x14ac:dyDescent="0.3">
      <c r="A29" s="40" t="s">
        <v>158</v>
      </c>
      <c r="B29" s="41">
        <v>11202</v>
      </c>
      <c r="C29" s="41">
        <v>21325</v>
      </c>
      <c r="D29" s="41"/>
      <c r="E29" s="41">
        <v>36231</v>
      </c>
      <c r="F29" s="41"/>
      <c r="G29" s="41">
        <v>22311</v>
      </c>
      <c r="H29" s="41"/>
      <c r="I29" s="41"/>
      <c r="J29" s="41">
        <v>35941</v>
      </c>
      <c r="K29" s="41">
        <v>127010</v>
      </c>
    </row>
    <row r="30" spans="1:11" x14ac:dyDescent="0.3">
      <c r="A30" s="40" t="s">
        <v>91</v>
      </c>
      <c r="B30" s="41">
        <v>29399</v>
      </c>
      <c r="C30" s="41">
        <v>39539</v>
      </c>
      <c r="D30" s="41"/>
      <c r="E30" s="41">
        <v>7251</v>
      </c>
      <c r="F30" s="41">
        <v>2748</v>
      </c>
      <c r="G30" s="41"/>
      <c r="H30" s="41">
        <v>19147</v>
      </c>
      <c r="I30" s="41"/>
      <c r="J30" s="41"/>
      <c r="K30" s="41">
        <v>98084</v>
      </c>
    </row>
    <row r="31" spans="1:11" x14ac:dyDescent="0.3">
      <c r="A31" s="40" t="s">
        <v>64</v>
      </c>
      <c r="B31" s="41"/>
      <c r="C31" s="41">
        <v>75936</v>
      </c>
      <c r="D31" s="41">
        <v>35153</v>
      </c>
      <c r="E31" s="41"/>
      <c r="F31" s="41">
        <v>43295</v>
      </c>
      <c r="G31" s="41"/>
      <c r="H31" s="41"/>
      <c r="I31" s="41"/>
      <c r="J31" s="41">
        <v>45072</v>
      </c>
      <c r="K31" s="41">
        <v>199456</v>
      </c>
    </row>
    <row r="32" spans="1:11" x14ac:dyDescent="0.3">
      <c r="A32" s="40" t="s">
        <v>95</v>
      </c>
      <c r="B32" s="41">
        <v>16764</v>
      </c>
      <c r="C32" s="41"/>
      <c r="D32" s="41"/>
      <c r="E32" s="41">
        <v>58338</v>
      </c>
      <c r="F32" s="41">
        <v>3314</v>
      </c>
      <c r="G32" s="41"/>
      <c r="H32" s="41"/>
      <c r="I32" s="41">
        <v>30254</v>
      </c>
      <c r="J32" s="41"/>
      <c r="K32" s="41">
        <v>108670</v>
      </c>
    </row>
    <row r="33" spans="1:11" x14ac:dyDescent="0.3">
      <c r="A33" s="40" t="s">
        <v>85</v>
      </c>
      <c r="B33" s="41"/>
      <c r="C33" s="41"/>
      <c r="D33" s="41">
        <v>65045</v>
      </c>
      <c r="E33" s="41">
        <v>50940</v>
      </c>
      <c r="F33" s="41"/>
      <c r="G33" s="41"/>
      <c r="H33" s="41"/>
      <c r="I33" s="41"/>
      <c r="J33" s="41"/>
      <c r="K33" s="41">
        <v>115985</v>
      </c>
    </row>
    <row r="34" spans="1:11" x14ac:dyDescent="0.3">
      <c r="A34" s="40" t="s">
        <v>71</v>
      </c>
      <c r="B34" s="41">
        <v>97696</v>
      </c>
      <c r="C34" s="41">
        <v>22421</v>
      </c>
      <c r="D34" s="41">
        <v>4197</v>
      </c>
      <c r="E34" s="41">
        <v>25871</v>
      </c>
      <c r="F34" s="41">
        <v>30668</v>
      </c>
      <c r="G34" s="41">
        <v>18338</v>
      </c>
      <c r="H34" s="41">
        <v>58821</v>
      </c>
      <c r="I34" s="41">
        <v>37379</v>
      </c>
      <c r="J34" s="41">
        <v>52369</v>
      </c>
      <c r="K34" s="41">
        <v>347760</v>
      </c>
    </row>
    <row r="35" spans="1:11" x14ac:dyDescent="0.3">
      <c r="A35" s="40" t="s">
        <v>99</v>
      </c>
      <c r="B35" s="41">
        <v>14078</v>
      </c>
      <c r="C35" s="41"/>
      <c r="D35" s="41"/>
      <c r="E35" s="41"/>
      <c r="F35" s="41">
        <v>37320</v>
      </c>
      <c r="G35" s="41"/>
      <c r="H35" s="41"/>
      <c r="I35" s="41"/>
      <c r="J35" s="41">
        <v>5269</v>
      </c>
      <c r="K35" s="41">
        <v>56667</v>
      </c>
    </row>
    <row r="36" spans="1:11" x14ac:dyDescent="0.3">
      <c r="A36" s="40" t="s">
        <v>78</v>
      </c>
      <c r="B36" s="41"/>
      <c r="C36" s="41">
        <v>24428</v>
      </c>
      <c r="D36" s="41"/>
      <c r="E36" s="41">
        <v>71956</v>
      </c>
      <c r="F36" s="41"/>
      <c r="G36" s="41">
        <v>37845</v>
      </c>
      <c r="H36" s="41">
        <v>47082</v>
      </c>
      <c r="I36" s="41">
        <v>63418</v>
      </c>
      <c r="J36" s="41"/>
      <c r="K36" s="41">
        <v>244729</v>
      </c>
    </row>
    <row r="37" spans="1:11" x14ac:dyDescent="0.3">
      <c r="A37" s="40" t="s">
        <v>55</v>
      </c>
      <c r="B37" s="41">
        <v>70929</v>
      </c>
      <c r="C37" s="41">
        <v>26837</v>
      </c>
      <c r="D37" s="41">
        <v>64550</v>
      </c>
      <c r="E37" s="41">
        <v>19702</v>
      </c>
      <c r="F37" s="41"/>
      <c r="G37" s="41">
        <v>63718</v>
      </c>
      <c r="H37" s="41"/>
      <c r="I37" s="41"/>
      <c r="J37" s="41"/>
      <c r="K37" s="41">
        <v>245736</v>
      </c>
    </row>
    <row r="38" spans="1:11" x14ac:dyDescent="0.3">
      <c r="A38" s="39" t="s">
        <v>718</v>
      </c>
      <c r="B38" s="42">
        <v>240068</v>
      </c>
      <c r="C38" s="42">
        <v>210486</v>
      </c>
      <c r="D38" s="42">
        <v>168945</v>
      </c>
      <c r="E38" s="42">
        <v>270289</v>
      </c>
      <c r="F38" s="42">
        <v>117345</v>
      </c>
      <c r="G38" s="42">
        <v>142212</v>
      </c>
      <c r="H38" s="42">
        <v>125050</v>
      </c>
      <c r="I38" s="42">
        <v>131051</v>
      </c>
      <c r="J38" s="42">
        <v>138651</v>
      </c>
      <c r="K38" s="42">
        <v>1544097</v>
      </c>
    </row>
  </sheetData>
  <mergeCells count="6">
    <mergeCell ref="A1:S1"/>
    <mergeCell ref="A3:F3"/>
    <mergeCell ref="A15:F15"/>
    <mergeCell ref="G15:H15"/>
    <mergeCell ref="A26:F26"/>
    <mergeCell ref="G26:K2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46A74-52A5-42C7-9BD6-460DD358EA49}">
  <dimension ref="A3:H42"/>
  <sheetViews>
    <sheetView workbookViewId="0">
      <selection activeCell="C5" sqref="C5"/>
    </sheetView>
  </sheetViews>
  <sheetFormatPr defaultRowHeight="14.4" x14ac:dyDescent="0.3"/>
  <cols>
    <col min="1" max="1" width="12.5546875" bestFit="1" customWidth="1"/>
    <col min="2" max="2" width="19" bestFit="1" customWidth="1"/>
    <col min="3" max="3" width="16.77734375" bestFit="1" customWidth="1"/>
    <col min="4" max="4" width="17.88671875" customWidth="1"/>
    <col min="5" max="5" width="14.6640625" customWidth="1"/>
    <col min="6" max="6" width="26.33203125" customWidth="1"/>
    <col min="7" max="7" width="8" bestFit="1" customWidth="1"/>
    <col min="8" max="8" width="10.77734375" bestFit="1" customWidth="1"/>
  </cols>
  <sheetData>
    <row r="3" spans="1:6" x14ac:dyDescent="0.3">
      <c r="A3" s="85" t="s">
        <v>727</v>
      </c>
      <c r="B3" s="86"/>
      <c r="C3" s="86"/>
      <c r="D3" s="86"/>
      <c r="E3" s="86"/>
      <c r="F3" s="86"/>
    </row>
    <row r="4" spans="1:6" x14ac:dyDescent="0.3">
      <c r="A4" s="38" t="s">
        <v>720</v>
      </c>
      <c r="B4" s="38" t="s">
        <v>719</v>
      </c>
    </row>
    <row r="5" spans="1:6" x14ac:dyDescent="0.3">
      <c r="A5" s="38" t="s">
        <v>717</v>
      </c>
      <c r="B5" t="s">
        <v>61</v>
      </c>
      <c r="C5" t="s">
        <v>82</v>
      </c>
      <c r="D5" t="s">
        <v>75</v>
      </c>
      <c r="E5" t="s">
        <v>105</v>
      </c>
      <c r="F5" t="s">
        <v>718</v>
      </c>
    </row>
    <row r="6" spans="1:6" x14ac:dyDescent="0.3">
      <c r="A6" s="40" t="s">
        <v>74</v>
      </c>
      <c r="B6" s="41">
        <v>898982</v>
      </c>
      <c r="C6" s="41">
        <v>772379</v>
      </c>
      <c r="D6" s="41">
        <v>530226</v>
      </c>
      <c r="E6" s="41">
        <v>923308</v>
      </c>
      <c r="F6" s="41">
        <v>3124895</v>
      </c>
    </row>
    <row r="7" spans="1:6" x14ac:dyDescent="0.3">
      <c r="A7" s="40" t="s">
        <v>92</v>
      </c>
      <c r="B7" s="41">
        <v>851067</v>
      </c>
      <c r="C7" s="41">
        <v>755967</v>
      </c>
      <c r="D7" s="41">
        <v>559616</v>
      </c>
      <c r="E7" s="41">
        <v>514251</v>
      </c>
      <c r="F7" s="41">
        <v>2680901</v>
      </c>
    </row>
    <row r="8" spans="1:6" x14ac:dyDescent="0.3">
      <c r="A8" s="40" t="s">
        <v>68</v>
      </c>
      <c r="B8" s="41">
        <v>391412</v>
      </c>
      <c r="C8" s="41">
        <v>745319</v>
      </c>
      <c r="D8" s="41">
        <v>852615</v>
      </c>
      <c r="E8" s="41">
        <v>814274</v>
      </c>
      <c r="F8" s="41">
        <v>2803620</v>
      </c>
    </row>
    <row r="9" spans="1:6" x14ac:dyDescent="0.3">
      <c r="A9" s="40" t="s">
        <v>81</v>
      </c>
      <c r="B9" s="41">
        <v>613322</v>
      </c>
      <c r="C9" s="41">
        <v>936297</v>
      </c>
      <c r="D9" s="41">
        <v>939111</v>
      </c>
      <c r="E9" s="41">
        <v>475463</v>
      </c>
      <c r="F9" s="41">
        <v>2964193</v>
      </c>
    </row>
    <row r="10" spans="1:6" x14ac:dyDescent="0.3">
      <c r="A10" s="40" t="s">
        <v>60</v>
      </c>
      <c r="B10" s="41">
        <v>896268</v>
      </c>
      <c r="C10" s="41">
        <v>811063</v>
      </c>
      <c r="D10" s="41">
        <v>672525</v>
      </c>
      <c r="E10" s="41">
        <v>399369</v>
      </c>
      <c r="F10" s="41">
        <v>2779225</v>
      </c>
    </row>
    <row r="11" spans="1:6" x14ac:dyDescent="0.3">
      <c r="A11" s="40" t="s">
        <v>88</v>
      </c>
      <c r="B11" s="41">
        <v>825370</v>
      </c>
      <c r="C11" s="41">
        <v>420379</v>
      </c>
      <c r="D11" s="41">
        <v>688751</v>
      </c>
      <c r="E11" s="41">
        <v>679843</v>
      </c>
      <c r="F11" s="41">
        <v>2614343</v>
      </c>
    </row>
    <row r="12" spans="1:6" x14ac:dyDescent="0.3">
      <c r="A12" s="39" t="s">
        <v>718</v>
      </c>
      <c r="B12" s="42">
        <v>4476421</v>
      </c>
      <c r="C12" s="42">
        <v>4441404</v>
      </c>
      <c r="D12" s="42">
        <v>4242844</v>
      </c>
      <c r="E12" s="42">
        <v>3806508</v>
      </c>
      <c r="F12" s="42">
        <v>16967177</v>
      </c>
    </row>
    <row r="15" spans="1:6" x14ac:dyDescent="0.3">
      <c r="A15" s="85" t="s">
        <v>729</v>
      </c>
      <c r="B15" s="86"/>
    </row>
    <row r="16" spans="1:6" x14ac:dyDescent="0.3">
      <c r="A16" s="38" t="s">
        <v>717</v>
      </c>
      <c r="B16" t="s">
        <v>728</v>
      </c>
    </row>
    <row r="17" spans="1:8" x14ac:dyDescent="0.3">
      <c r="A17" s="40" t="s">
        <v>73</v>
      </c>
      <c r="B17" s="11">
        <v>5</v>
      </c>
    </row>
    <row r="18" spans="1:8" x14ac:dyDescent="0.3">
      <c r="A18" s="40" t="s">
        <v>67</v>
      </c>
      <c r="B18" s="11">
        <v>9</v>
      </c>
    </row>
    <row r="19" spans="1:8" x14ac:dyDescent="0.3">
      <c r="A19" s="40" t="s">
        <v>80</v>
      </c>
      <c r="B19" s="11">
        <v>4</v>
      </c>
    </row>
    <row r="20" spans="1:8" x14ac:dyDescent="0.3">
      <c r="A20" s="40" t="s">
        <v>58</v>
      </c>
      <c r="B20" s="11">
        <v>12</v>
      </c>
    </row>
    <row r="21" spans="1:8" x14ac:dyDescent="0.3">
      <c r="A21" s="39" t="s">
        <v>718</v>
      </c>
      <c r="B21">
        <v>30</v>
      </c>
    </row>
    <row r="24" spans="1:8" x14ac:dyDescent="0.3">
      <c r="A24" s="85" t="s">
        <v>730</v>
      </c>
      <c r="B24" s="85"/>
      <c r="C24" s="85"/>
      <c r="D24" s="85"/>
      <c r="E24" s="85"/>
      <c r="F24" s="85"/>
      <c r="G24" s="85"/>
      <c r="H24" s="85"/>
    </row>
    <row r="25" spans="1:8" x14ac:dyDescent="0.3">
      <c r="A25" s="38" t="s">
        <v>720</v>
      </c>
      <c r="B25" s="38" t="s">
        <v>719</v>
      </c>
    </row>
    <row r="26" spans="1:8" x14ac:dyDescent="0.3">
      <c r="A26" s="38" t="s">
        <v>717</v>
      </c>
      <c r="B26" t="s">
        <v>74</v>
      </c>
      <c r="C26" t="s">
        <v>92</v>
      </c>
      <c r="D26" t="s">
        <v>68</v>
      </c>
      <c r="E26" t="s">
        <v>81</v>
      </c>
      <c r="F26" t="s">
        <v>60</v>
      </c>
      <c r="G26" t="s">
        <v>88</v>
      </c>
      <c r="H26" t="s">
        <v>718</v>
      </c>
    </row>
    <row r="27" spans="1:8" x14ac:dyDescent="0.3">
      <c r="A27" s="40" t="s">
        <v>682</v>
      </c>
      <c r="B27" s="11">
        <v>433604</v>
      </c>
      <c r="C27" s="11">
        <v>1057346</v>
      </c>
      <c r="D27" s="11">
        <v>538048</v>
      </c>
      <c r="E27" s="11">
        <v>457659</v>
      </c>
      <c r="F27" s="11">
        <v>471054</v>
      </c>
      <c r="G27" s="11">
        <v>807403</v>
      </c>
      <c r="H27" s="11">
        <v>3765114</v>
      </c>
    </row>
    <row r="28" spans="1:8" x14ac:dyDescent="0.3">
      <c r="A28" s="40" t="s">
        <v>683</v>
      </c>
      <c r="B28" s="11">
        <v>864165</v>
      </c>
      <c r="C28" s="11">
        <v>450498</v>
      </c>
      <c r="D28" s="11">
        <v>1024075</v>
      </c>
      <c r="E28" s="11">
        <v>542406</v>
      </c>
      <c r="F28" s="11">
        <v>942327</v>
      </c>
      <c r="G28" s="11">
        <v>562598</v>
      </c>
      <c r="H28" s="11">
        <v>4386069</v>
      </c>
    </row>
    <row r="29" spans="1:8" x14ac:dyDescent="0.3">
      <c r="A29" s="40" t="s">
        <v>684</v>
      </c>
      <c r="B29" s="11">
        <v>822597</v>
      </c>
      <c r="C29" s="11">
        <v>306400</v>
      </c>
      <c r="D29" s="11">
        <v>617248</v>
      </c>
      <c r="E29" s="11">
        <v>903625</v>
      </c>
      <c r="F29" s="11">
        <v>722160</v>
      </c>
      <c r="G29" s="11">
        <v>674868</v>
      </c>
      <c r="H29" s="11">
        <v>4046898</v>
      </c>
    </row>
    <row r="30" spans="1:8" x14ac:dyDescent="0.3">
      <c r="A30" s="40" t="s">
        <v>685</v>
      </c>
      <c r="B30" s="11">
        <v>1004529</v>
      </c>
      <c r="C30" s="11">
        <v>866657</v>
      </c>
      <c r="D30" s="11">
        <v>624249</v>
      </c>
      <c r="E30" s="11">
        <v>1060503</v>
      </c>
      <c r="F30" s="11">
        <v>643684</v>
      </c>
      <c r="G30" s="11">
        <v>569474</v>
      </c>
      <c r="H30" s="11">
        <v>4769096</v>
      </c>
    </row>
    <row r="31" spans="1:8" x14ac:dyDescent="0.3">
      <c r="A31" s="39" t="s">
        <v>718</v>
      </c>
      <c r="B31">
        <v>3124895</v>
      </c>
      <c r="C31">
        <v>2680901</v>
      </c>
      <c r="D31">
        <v>2803620</v>
      </c>
      <c r="E31">
        <v>2964193</v>
      </c>
      <c r="F31">
        <v>2779225</v>
      </c>
      <c r="G31">
        <v>2614343</v>
      </c>
      <c r="H31">
        <v>16967177</v>
      </c>
    </row>
    <row r="35" spans="1:3" x14ac:dyDescent="0.3">
      <c r="A35" s="38" t="s">
        <v>717</v>
      </c>
      <c r="B35" t="s">
        <v>720</v>
      </c>
      <c r="C35" t="s">
        <v>731</v>
      </c>
    </row>
    <row r="36" spans="1:3" x14ac:dyDescent="0.3">
      <c r="A36" s="39" t="s">
        <v>74</v>
      </c>
      <c r="B36">
        <v>3124895</v>
      </c>
      <c r="C36">
        <v>4495</v>
      </c>
    </row>
    <row r="37" spans="1:3" x14ac:dyDescent="0.3">
      <c r="A37" s="39" t="s">
        <v>92</v>
      </c>
      <c r="B37">
        <v>2680901</v>
      </c>
      <c r="C37">
        <v>4141</v>
      </c>
    </row>
    <row r="38" spans="1:3" x14ac:dyDescent="0.3">
      <c r="A38" s="39" t="s">
        <v>68</v>
      </c>
      <c r="B38">
        <v>2803620</v>
      </c>
      <c r="C38">
        <v>3910</v>
      </c>
    </row>
    <row r="39" spans="1:3" x14ac:dyDescent="0.3">
      <c r="A39" s="39" t="s">
        <v>81</v>
      </c>
      <c r="B39">
        <v>2964193</v>
      </c>
      <c r="C39">
        <v>5346</v>
      </c>
    </row>
    <row r="40" spans="1:3" x14ac:dyDescent="0.3">
      <c r="A40" s="39" t="s">
        <v>60</v>
      </c>
      <c r="B40">
        <v>2779225</v>
      </c>
      <c r="C40">
        <v>4300</v>
      </c>
    </row>
    <row r="41" spans="1:3" x14ac:dyDescent="0.3">
      <c r="A41" s="39" t="s">
        <v>88</v>
      </c>
      <c r="B41">
        <v>2614343</v>
      </c>
      <c r="C41">
        <v>4199</v>
      </c>
    </row>
    <row r="42" spans="1:3" x14ac:dyDescent="0.3">
      <c r="A42" s="39" t="s">
        <v>718</v>
      </c>
      <c r="B42">
        <v>16967177</v>
      </c>
      <c r="C42">
        <v>26391</v>
      </c>
    </row>
  </sheetData>
  <mergeCells count="3">
    <mergeCell ref="A3:F3"/>
    <mergeCell ref="A15:B15"/>
    <mergeCell ref="A24:H2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06610-270D-45FD-8464-05EFC0B676C9}">
  <dimension ref="A1"/>
  <sheetViews>
    <sheetView topLeftCell="A2" zoomScale="84" workbookViewId="0">
      <selection activeCell="U14" sqref="U14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EE5EE-053A-42C6-B86B-505A28FEA5F7}">
  <dimension ref="A1:J31"/>
  <sheetViews>
    <sheetView zoomScale="82" workbookViewId="0">
      <selection activeCell="N18" sqref="N18"/>
    </sheetView>
  </sheetViews>
  <sheetFormatPr defaultRowHeight="14.4" x14ac:dyDescent="0.3"/>
  <cols>
    <col min="1" max="2" width="17" customWidth="1"/>
    <col min="3" max="3" width="17.44140625" customWidth="1"/>
    <col min="4" max="4" width="28.109375" customWidth="1"/>
    <col min="5" max="5" width="20.6640625" customWidth="1"/>
    <col min="6" max="6" width="17.21875" customWidth="1"/>
    <col min="7" max="7" width="15.6640625" customWidth="1"/>
    <col min="8" max="8" width="22.77734375" customWidth="1"/>
    <col min="9" max="9" width="23.6640625" customWidth="1"/>
    <col min="10" max="10" width="13" customWidth="1"/>
  </cols>
  <sheetData>
    <row r="1" spans="1:10" ht="19.8" customHeight="1" x14ac:dyDescent="0.3">
      <c r="A1" s="4" t="s">
        <v>39</v>
      </c>
      <c r="B1" s="4" t="s">
        <v>732</v>
      </c>
      <c r="C1" s="4" t="s">
        <v>733</v>
      </c>
      <c r="D1" s="4" t="s">
        <v>734</v>
      </c>
      <c r="E1" s="4" t="s">
        <v>735</v>
      </c>
      <c r="F1" s="4" t="s">
        <v>736</v>
      </c>
      <c r="G1" s="4" t="s">
        <v>737</v>
      </c>
      <c r="H1" s="4" t="s">
        <v>738</v>
      </c>
      <c r="I1" s="4" t="s">
        <v>739</v>
      </c>
      <c r="J1" s="4" t="s">
        <v>740</v>
      </c>
    </row>
    <row r="2" spans="1:10" x14ac:dyDescent="0.3">
      <c r="A2" s="5" t="s">
        <v>54</v>
      </c>
      <c r="B2" s="21">
        <f>SUMIFS(Trip_Data!$K:$K,Trip_Data!$B:$B,A2)</f>
        <v>4534.1500000000005</v>
      </c>
      <c r="C2">
        <f>SUMIFS(Trip_Data!$G:$G,Trip_Data!$B:$B,A2)</f>
        <v>206.4</v>
      </c>
      <c r="D2" s="21">
        <f>IF(C2=0,0,B2/C2)</f>
        <v>21.967781007751942</v>
      </c>
      <c r="E2" s="44">
        <f>SUMIFS(Maintenance_Data!$F:$F,Maintenance_Data!$B:$B,A2)</f>
        <v>42842</v>
      </c>
      <c r="F2" s="33">
        <f>IF(B2=0,0,E2/B2)</f>
        <v>9.4487390139276375</v>
      </c>
      <c r="G2">
        <f>COUNTIF(Trip_Data!$B:$B,A2)</f>
        <v>7</v>
      </c>
      <c r="H2">
        <f>121*8</f>
        <v>968</v>
      </c>
      <c r="I2" s="34">
        <f>G2/H2</f>
        <v>7.2314049586776862E-3</v>
      </c>
      <c r="J2">
        <f>RANK(D2,$D$2:$D$31,0)</f>
        <v>10</v>
      </c>
    </row>
    <row r="3" spans="1:10" x14ac:dyDescent="0.3">
      <c r="A3" s="8" t="s">
        <v>63</v>
      </c>
      <c r="B3" s="21">
        <f>SUMIFS(Trip_Data!$K:$K,Trip_Data!$B:$B,A3)</f>
        <v>1310.56</v>
      </c>
      <c r="C3">
        <f>SUMIFS(Trip_Data!$G:$G,Trip_Data!$B:$B,A3)</f>
        <v>62.099999999999994</v>
      </c>
      <c r="D3" s="21">
        <f t="shared" ref="D3:D31" si="0">IF(C3=0,0,B3/C3)</f>
        <v>21.104025764895333</v>
      </c>
      <c r="E3" s="44">
        <f>SUMIFS(Maintenance_Data!$F:$F,Maintenance_Data!$B:$B,A3)</f>
        <v>97104</v>
      </c>
      <c r="F3" s="33">
        <f t="shared" ref="F3:F31" si="1">IF(B3=0,0,E3/B3)</f>
        <v>74.093517275057991</v>
      </c>
      <c r="G3">
        <f>COUNTIF(Trip_Data!$B:$B,A3)</f>
        <v>2</v>
      </c>
      <c r="H3">
        <f t="shared" ref="H3:H31" si="2">121*8</f>
        <v>968</v>
      </c>
      <c r="I3" s="34">
        <f t="shared" ref="I3:I31" si="3">G3/H3</f>
        <v>2.0661157024793389E-3</v>
      </c>
      <c r="J3">
        <f t="shared" ref="J3:J31" si="4">RANK(D3,$D$2:$D$31,0)</f>
        <v>11</v>
      </c>
    </row>
    <row r="4" spans="1:10" x14ac:dyDescent="0.3">
      <c r="A4" s="5" t="s">
        <v>70</v>
      </c>
      <c r="B4" s="21">
        <f>SUMIFS(Trip_Data!$K:$K,Trip_Data!$B:$B,A4)</f>
        <v>2192.0499999999997</v>
      </c>
      <c r="C4">
        <f>SUMIFS(Trip_Data!$G:$G,Trip_Data!$B:$B,A4)</f>
        <v>110.60000000000001</v>
      </c>
      <c r="D4" s="21">
        <f t="shared" si="0"/>
        <v>19.819620253164555</v>
      </c>
      <c r="E4" s="44">
        <f>SUMIFS(Maintenance_Data!$F:$F,Maintenance_Data!$B:$B,A4)</f>
        <v>47455</v>
      </c>
      <c r="F4" s="33">
        <f t="shared" si="1"/>
        <v>21.648685020870879</v>
      </c>
      <c r="G4">
        <f>COUNTIF(Trip_Data!$B:$B,A4)</f>
        <v>5</v>
      </c>
      <c r="H4">
        <f t="shared" si="2"/>
        <v>968</v>
      </c>
      <c r="I4" s="34">
        <f t="shared" si="3"/>
        <v>5.1652892561983473E-3</v>
      </c>
      <c r="J4">
        <f t="shared" si="4"/>
        <v>14</v>
      </c>
    </row>
    <row r="5" spans="1:10" x14ac:dyDescent="0.3">
      <c r="A5" s="8" t="s">
        <v>77</v>
      </c>
      <c r="B5" s="21">
        <f>SUMIFS(Trip_Data!$K:$K,Trip_Data!$B:$B,A5)</f>
        <v>944.6</v>
      </c>
      <c r="C5">
        <f>SUMIFS(Trip_Data!$G:$G,Trip_Data!$B:$B,A5)</f>
        <v>54.4</v>
      </c>
      <c r="D5" s="21">
        <f t="shared" si="0"/>
        <v>17.363970588235293</v>
      </c>
      <c r="E5" s="44">
        <f>SUMIFS(Maintenance_Data!$F:$F,Maintenance_Data!$B:$B,A5)</f>
        <v>49992</v>
      </c>
      <c r="F5" s="33">
        <f t="shared" si="1"/>
        <v>52.923988990048699</v>
      </c>
      <c r="G5">
        <f>COUNTIF(Trip_Data!$B:$B,A5)</f>
        <v>1</v>
      </c>
      <c r="H5">
        <f t="shared" si="2"/>
        <v>968</v>
      </c>
      <c r="I5" s="34">
        <f t="shared" si="3"/>
        <v>1.0330578512396695E-3</v>
      </c>
      <c r="J5">
        <f t="shared" si="4"/>
        <v>22</v>
      </c>
    </row>
    <row r="6" spans="1:10" x14ac:dyDescent="0.3">
      <c r="A6" s="5" t="s">
        <v>84</v>
      </c>
      <c r="B6" s="21">
        <f>SUMIFS(Trip_Data!$K:$K,Trip_Data!$B:$B,A6)</f>
        <v>2480.2399999999998</v>
      </c>
      <c r="C6">
        <f>SUMIFS(Trip_Data!$G:$G,Trip_Data!$B:$B,A6)</f>
        <v>91.9</v>
      </c>
      <c r="D6" s="21">
        <f t="shared" si="0"/>
        <v>26.988465723612617</v>
      </c>
      <c r="E6" s="44">
        <f>SUMIFS(Maintenance_Data!$F:$F,Maintenance_Data!$B:$B,A6)</f>
        <v>40908</v>
      </c>
      <c r="F6" s="33">
        <f t="shared" si="1"/>
        <v>16.49356513885753</v>
      </c>
      <c r="G6">
        <f>COUNTIF(Trip_Data!$B:$B,A6)</f>
        <v>3</v>
      </c>
      <c r="H6">
        <f t="shared" si="2"/>
        <v>968</v>
      </c>
      <c r="I6" s="34">
        <f t="shared" si="3"/>
        <v>3.0991735537190084E-3</v>
      </c>
      <c r="J6">
        <f t="shared" si="4"/>
        <v>3</v>
      </c>
    </row>
    <row r="7" spans="1:10" x14ac:dyDescent="0.3">
      <c r="A7" s="8" t="s">
        <v>90</v>
      </c>
      <c r="B7" s="21">
        <f>SUMIFS(Trip_Data!$K:$K,Trip_Data!$B:$B,A7)</f>
        <v>0</v>
      </c>
      <c r="C7">
        <f>SUMIFS(Trip_Data!$G:$G,Trip_Data!$B:$B,A7)</f>
        <v>0</v>
      </c>
      <c r="D7" s="21">
        <f t="shared" si="0"/>
        <v>0</v>
      </c>
      <c r="E7" s="44">
        <f>SUMIFS(Maintenance_Data!$F:$F,Maintenance_Data!$B:$B,A7)</f>
        <v>29146</v>
      </c>
      <c r="F7" s="33">
        <f t="shared" si="1"/>
        <v>0</v>
      </c>
      <c r="G7">
        <f>COUNTIF(Trip_Data!$B:$B,A7)</f>
        <v>0</v>
      </c>
      <c r="H7">
        <f t="shared" si="2"/>
        <v>968</v>
      </c>
      <c r="I7" s="34">
        <f t="shared" si="3"/>
        <v>0</v>
      </c>
      <c r="J7">
        <f t="shared" si="4"/>
        <v>29</v>
      </c>
    </row>
    <row r="8" spans="1:10" x14ac:dyDescent="0.3">
      <c r="A8" s="5" t="s">
        <v>94</v>
      </c>
      <c r="B8" s="21">
        <f>SUMIFS(Trip_Data!$K:$K,Trip_Data!$B:$B,A8)</f>
        <v>1029.8499999999999</v>
      </c>
      <c r="C8">
        <f>SUMIFS(Trip_Data!$G:$G,Trip_Data!$B:$B,A8)</f>
        <v>57.2</v>
      </c>
      <c r="D8" s="21">
        <f t="shared" si="0"/>
        <v>18.004370629370626</v>
      </c>
      <c r="E8" s="44">
        <f>SUMIFS(Maintenance_Data!$F:$F,Maintenance_Data!$B:$B,A8)</f>
        <v>71638</v>
      </c>
      <c r="F8" s="33">
        <f t="shared" si="1"/>
        <v>69.561586638830903</v>
      </c>
      <c r="G8">
        <f>COUNTIF(Trip_Data!$B:$B,A8)</f>
        <v>2</v>
      </c>
      <c r="H8">
        <f t="shared" si="2"/>
        <v>968</v>
      </c>
      <c r="I8" s="34">
        <f t="shared" si="3"/>
        <v>2.0661157024793389E-3</v>
      </c>
      <c r="J8">
        <f t="shared" si="4"/>
        <v>17</v>
      </c>
    </row>
    <row r="9" spans="1:10" x14ac:dyDescent="0.3">
      <c r="A9" s="8" t="s">
        <v>98</v>
      </c>
      <c r="B9" s="21">
        <f>SUMIFS(Trip_Data!$K:$K,Trip_Data!$B:$B,A9)</f>
        <v>2484.4</v>
      </c>
      <c r="C9">
        <f>SUMIFS(Trip_Data!$G:$G,Trip_Data!$B:$B,A9)</f>
        <v>102.7</v>
      </c>
      <c r="D9" s="21">
        <f t="shared" si="0"/>
        <v>24.190847127555987</v>
      </c>
      <c r="E9" s="44">
        <f>SUMIFS(Maintenance_Data!$F:$F,Maintenance_Data!$B:$B,A9)</f>
        <v>5269</v>
      </c>
      <c r="F9" s="33">
        <f t="shared" si="1"/>
        <v>2.1208340041861211</v>
      </c>
      <c r="G9">
        <f>COUNTIF(Trip_Data!$B:$B,A9)</f>
        <v>4</v>
      </c>
      <c r="H9">
        <f t="shared" si="2"/>
        <v>968</v>
      </c>
      <c r="I9" s="34">
        <f t="shared" si="3"/>
        <v>4.1322314049586778E-3</v>
      </c>
      <c r="J9">
        <f t="shared" si="4"/>
        <v>8</v>
      </c>
    </row>
    <row r="10" spans="1:10" x14ac:dyDescent="0.3">
      <c r="A10" s="5" t="s">
        <v>102</v>
      </c>
      <c r="B10" s="21">
        <f>SUMIFS(Trip_Data!$K:$K,Trip_Data!$B:$B,A10)</f>
        <v>4011.21</v>
      </c>
      <c r="C10">
        <f>SUMIFS(Trip_Data!$G:$G,Trip_Data!$B:$B,A10)</f>
        <v>194</v>
      </c>
      <c r="D10" s="21">
        <f t="shared" si="0"/>
        <v>20.676340206185568</v>
      </c>
      <c r="E10" s="44">
        <f>SUMIFS(Maintenance_Data!$F:$F,Maintenance_Data!$B:$B,A10)</f>
        <v>30668</v>
      </c>
      <c r="F10" s="33">
        <f t="shared" si="1"/>
        <v>7.6455732808803329</v>
      </c>
      <c r="G10">
        <f>COUNTIF(Trip_Data!$B:$B,A10)</f>
        <v>5</v>
      </c>
      <c r="H10">
        <f t="shared" si="2"/>
        <v>968</v>
      </c>
      <c r="I10" s="34">
        <f t="shared" si="3"/>
        <v>5.1652892561983473E-3</v>
      </c>
      <c r="J10">
        <f t="shared" si="4"/>
        <v>13</v>
      </c>
    </row>
    <row r="11" spans="1:10" x14ac:dyDescent="0.3">
      <c r="A11" s="8" t="s">
        <v>107</v>
      </c>
      <c r="B11" s="21">
        <f>SUMIFS(Trip_Data!$K:$K,Trip_Data!$B:$B,A11)</f>
        <v>1649.08</v>
      </c>
      <c r="C11">
        <f>SUMIFS(Trip_Data!$G:$G,Trip_Data!$B:$B,A11)</f>
        <v>101.9</v>
      </c>
      <c r="D11" s="21">
        <f t="shared" si="0"/>
        <v>16.183316977428849</v>
      </c>
      <c r="E11" s="44">
        <f>SUMIFS(Maintenance_Data!$F:$F,Maintenance_Data!$B:$B,A11)</f>
        <v>70846</v>
      </c>
      <c r="F11" s="33">
        <f t="shared" si="1"/>
        <v>42.960923666529219</v>
      </c>
      <c r="G11">
        <f>COUNTIF(Trip_Data!$B:$B,A11)</f>
        <v>2</v>
      </c>
      <c r="H11">
        <f t="shared" si="2"/>
        <v>968</v>
      </c>
      <c r="I11" s="34">
        <f t="shared" si="3"/>
        <v>2.0661157024793389E-3</v>
      </c>
      <c r="J11">
        <f t="shared" si="4"/>
        <v>24</v>
      </c>
    </row>
    <row r="12" spans="1:10" x14ac:dyDescent="0.3">
      <c r="A12" s="5" t="s">
        <v>110</v>
      </c>
      <c r="B12" s="21">
        <f>SUMIFS(Trip_Data!$K:$K,Trip_Data!$B:$B,A12)</f>
        <v>1263.52</v>
      </c>
      <c r="C12">
        <f>SUMIFS(Trip_Data!$G:$G,Trip_Data!$B:$B,A12)</f>
        <v>60.3</v>
      </c>
      <c r="D12" s="21">
        <f t="shared" si="0"/>
        <v>20.953897180762851</v>
      </c>
      <c r="E12" s="44">
        <f>SUMIFS(Maintenance_Data!$F:$F,Maintenance_Data!$B:$B,A12)</f>
        <v>91371</v>
      </c>
      <c r="F12" s="33">
        <f t="shared" si="1"/>
        <v>72.314644801823476</v>
      </c>
      <c r="G12">
        <f>COUNTIF(Trip_Data!$B:$B,A12)</f>
        <v>3</v>
      </c>
      <c r="H12">
        <f t="shared" si="2"/>
        <v>968</v>
      </c>
      <c r="I12" s="34">
        <f t="shared" si="3"/>
        <v>3.0991735537190084E-3</v>
      </c>
      <c r="J12">
        <f t="shared" si="4"/>
        <v>12</v>
      </c>
    </row>
    <row r="13" spans="1:10" x14ac:dyDescent="0.3">
      <c r="A13" s="8" t="s">
        <v>113</v>
      </c>
      <c r="B13" s="21">
        <f>SUMIFS(Trip_Data!$K:$K,Trip_Data!$B:$B,A13)</f>
        <v>1842.71</v>
      </c>
      <c r="C13">
        <f>SUMIFS(Trip_Data!$G:$G,Trip_Data!$B:$B,A13)</f>
        <v>71.099999999999994</v>
      </c>
      <c r="D13" s="21">
        <f t="shared" si="0"/>
        <v>25.917158931082984</v>
      </c>
      <c r="E13" s="44">
        <f>SUMIFS(Maintenance_Data!$F:$F,Maintenance_Data!$B:$B,A13)</f>
        <v>40947</v>
      </c>
      <c r="F13" s="33">
        <f t="shared" si="1"/>
        <v>22.221076566578571</v>
      </c>
      <c r="G13">
        <f>COUNTIF(Trip_Data!$B:$B,A13)</f>
        <v>3</v>
      </c>
      <c r="H13">
        <f t="shared" si="2"/>
        <v>968</v>
      </c>
      <c r="I13" s="34">
        <f t="shared" si="3"/>
        <v>3.0991735537190084E-3</v>
      </c>
      <c r="J13">
        <f t="shared" si="4"/>
        <v>5</v>
      </c>
    </row>
    <row r="14" spans="1:10" x14ac:dyDescent="0.3">
      <c r="A14" s="5" t="s">
        <v>116</v>
      </c>
      <c r="B14" s="21">
        <f>SUMIFS(Trip_Data!$K:$K,Trip_Data!$B:$B,A14)</f>
        <v>4553.2299999999996</v>
      </c>
      <c r="C14">
        <f>SUMIFS(Trip_Data!$G:$G,Trip_Data!$B:$B,A14)</f>
        <v>184.60000000000002</v>
      </c>
      <c r="D14" s="21">
        <f t="shared" si="0"/>
        <v>24.66538461538461</v>
      </c>
      <c r="E14" s="44">
        <f>SUMIFS(Maintenance_Data!$F:$F,Maintenance_Data!$B:$B,A14)</f>
        <v>24956</v>
      </c>
      <c r="F14" s="33">
        <f t="shared" si="1"/>
        <v>5.4809442966860891</v>
      </c>
      <c r="G14">
        <f>COUNTIF(Trip_Data!$B:$B,A14)</f>
        <v>6</v>
      </c>
      <c r="H14">
        <f t="shared" si="2"/>
        <v>968</v>
      </c>
      <c r="I14" s="34">
        <f t="shared" si="3"/>
        <v>6.1983471074380167E-3</v>
      </c>
      <c r="J14">
        <f t="shared" si="4"/>
        <v>7</v>
      </c>
    </row>
    <row r="15" spans="1:10" x14ac:dyDescent="0.3">
      <c r="A15" s="8" t="s">
        <v>119</v>
      </c>
      <c r="B15" s="21">
        <f>SUMIFS(Trip_Data!$K:$K,Trip_Data!$B:$B,A15)</f>
        <v>3393.3100000000004</v>
      </c>
      <c r="C15">
        <f>SUMIFS(Trip_Data!$G:$G,Trip_Data!$B:$B,A15)</f>
        <v>153</v>
      </c>
      <c r="D15" s="21">
        <f t="shared" si="0"/>
        <v>22.178496732026147</v>
      </c>
      <c r="E15" s="44">
        <f>SUMIFS(Maintenance_Data!$F:$F,Maintenance_Data!$B:$B,A15)</f>
        <v>29399</v>
      </c>
      <c r="F15" s="33">
        <f t="shared" si="1"/>
        <v>8.6638120301416599</v>
      </c>
      <c r="G15">
        <f>COUNTIF(Trip_Data!$B:$B,A15)</f>
        <v>7</v>
      </c>
      <c r="H15">
        <f t="shared" si="2"/>
        <v>968</v>
      </c>
      <c r="I15" s="34">
        <f t="shared" si="3"/>
        <v>7.2314049586776862E-3</v>
      </c>
      <c r="J15">
        <f t="shared" si="4"/>
        <v>9</v>
      </c>
    </row>
    <row r="16" spans="1:10" x14ac:dyDescent="0.3">
      <c r="A16" s="5" t="s">
        <v>122</v>
      </c>
      <c r="B16" s="21">
        <f>SUMIFS(Trip_Data!$K:$K,Trip_Data!$B:$B,A16)</f>
        <v>1363.11</v>
      </c>
      <c r="C16">
        <f>SUMIFS(Trip_Data!$G:$G,Trip_Data!$B:$B,A16)</f>
        <v>78.5</v>
      </c>
      <c r="D16" s="21">
        <f t="shared" si="0"/>
        <v>17.364458598726113</v>
      </c>
      <c r="E16" s="44">
        <f>SUMIFS(Maintenance_Data!$F:$F,Maintenance_Data!$B:$B,A16)</f>
        <v>3314</v>
      </c>
      <c r="F16" s="33">
        <f t="shared" si="1"/>
        <v>2.4312051118398372</v>
      </c>
      <c r="G16">
        <f>COUNTIF(Trip_Data!$B:$B,A16)</f>
        <v>3</v>
      </c>
      <c r="H16">
        <f t="shared" si="2"/>
        <v>968</v>
      </c>
      <c r="I16" s="34">
        <f t="shared" si="3"/>
        <v>3.0991735537190084E-3</v>
      </c>
      <c r="J16">
        <f t="shared" si="4"/>
        <v>21</v>
      </c>
    </row>
    <row r="17" spans="1:10" x14ac:dyDescent="0.3">
      <c r="A17" s="8" t="s">
        <v>125</v>
      </c>
      <c r="B17" s="21">
        <f>SUMIFS(Trip_Data!$K:$K,Trip_Data!$B:$B,A17)</f>
        <v>1346.43</v>
      </c>
      <c r="C17">
        <f>SUMIFS(Trip_Data!$G:$G,Trip_Data!$B:$B,A17)</f>
        <v>47.6</v>
      </c>
      <c r="D17" s="21">
        <f t="shared" si="0"/>
        <v>28.286344537815125</v>
      </c>
      <c r="E17" s="44">
        <f>SUMIFS(Maintenance_Data!$F:$F,Maintenance_Data!$B:$B,A17)</f>
        <v>62273</v>
      </c>
      <c r="F17" s="33">
        <f t="shared" si="1"/>
        <v>46.250454906679138</v>
      </c>
      <c r="G17">
        <f>COUNTIF(Trip_Data!$B:$B,A17)</f>
        <v>1</v>
      </c>
      <c r="H17">
        <f t="shared" si="2"/>
        <v>968</v>
      </c>
      <c r="I17" s="34">
        <f t="shared" si="3"/>
        <v>1.0330578512396695E-3</v>
      </c>
      <c r="J17">
        <f t="shared" si="4"/>
        <v>2</v>
      </c>
    </row>
    <row r="18" spans="1:10" x14ac:dyDescent="0.3">
      <c r="A18" s="5" t="s">
        <v>128</v>
      </c>
      <c r="B18" s="21">
        <f>SUMIFS(Trip_Data!$K:$K,Trip_Data!$B:$B,A18)</f>
        <v>4884.4500000000007</v>
      </c>
      <c r="C18">
        <f>SUMIFS(Trip_Data!$G:$G,Trip_Data!$B:$B,A18)</f>
        <v>273.79999999999995</v>
      </c>
      <c r="D18" s="21">
        <f t="shared" si="0"/>
        <v>17.839481373265162</v>
      </c>
      <c r="E18" s="44">
        <f>SUMIFS(Maintenance_Data!$F:$F,Maintenance_Data!$B:$B,A18)</f>
        <v>42950</v>
      </c>
      <c r="F18" s="33">
        <f t="shared" si="1"/>
        <v>8.7932111087225771</v>
      </c>
      <c r="G18">
        <f>COUNTIF(Trip_Data!$B:$B,A18)</f>
        <v>7</v>
      </c>
      <c r="H18">
        <f t="shared" si="2"/>
        <v>968</v>
      </c>
      <c r="I18" s="34">
        <f t="shared" si="3"/>
        <v>7.2314049586776862E-3</v>
      </c>
      <c r="J18">
        <f t="shared" si="4"/>
        <v>18</v>
      </c>
    </row>
    <row r="19" spans="1:10" x14ac:dyDescent="0.3">
      <c r="A19" s="8" t="s">
        <v>132</v>
      </c>
      <c r="B19" s="21">
        <f>SUMIFS(Trip_Data!$K:$K,Trip_Data!$B:$B,A19)</f>
        <v>4144.6100000000006</v>
      </c>
      <c r="C19">
        <f>SUMIFS(Trip_Data!$G:$G,Trip_Data!$B:$B,A19)</f>
        <v>238.2</v>
      </c>
      <c r="D19" s="21">
        <f t="shared" si="0"/>
        <v>17.399706129303109</v>
      </c>
      <c r="E19" s="44">
        <f>SUMIFS(Maintenance_Data!$F:$F,Maintenance_Data!$B:$B,A19)</f>
        <v>0</v>
      </c>
      <c r="F19" s="33">
        <f t="shared" si="1"/>
        <v>0</v>
      </c>
      <c r="G19">
        <f>COUNTIF(Trip_Data!$B:$B,A19)</f>
        <v>6</v>
      </c>
      <c r="H19">
        <f t="shared" si="2"/>
        <v>968</v>
      </c>
      <c r="I19" s="34">
        <f t="shared" si="3"/>
        <v>6.1983471074380167E-3</v>
      </c>
      <c r="J19">
        <f t="shared" si="4"/>
        <v>20</v>
      </c>
    </row>
    <row r="20" spans="1:10" x14ac:dyDescent="0.3">
      <c r="A20" s="5" t="s">
        <v>135</v>
      </c>
      <c r="B20" s="21">
        <f>SUMIFS(Trip_Data!$K:$K,Trip_Data!$B:$B,A20)</f>
        <v>2888.08</v>
      </c>
      <c r="C20">
        <f>SUMIFS(Trip_Data!$G:$G,Trip_Data!$B:$B,A20)</f>
        <v>164.8</v>
      </c>
      <c r="D20" s="21">
        <f t="shared" si="0"/>
        <v>17.524757281553395</v>
      </c>
      <c r="E20" s="44">
        <f>SUMIFS(Maintenance_Data!$F:$F,Maintenance_Data!$B:$B,A20)</f>
        <v>40836</v>
      </c>
      <c r="F20" s="33">
        <f t="shared" si="1"/>
        <v>14.139497520844298</v>
      </c>
      <c r="G20">
        <f>COUNTIF(Trip_Data!$B:$B,A20)</f>
        <v>4</v>
      </c>
      <c r="H20">
        <f t="shared" si="2"/>
        <v>968</v>
      </c>
      <c r="I20" s="34">
        <f t="shared" si="3"/>
        <v>4.1322314049586778E-3</v>
      </c>
      <c r="J20">
        <f t="shared" si="4"/>
        <v>19</v>
      </c>
    </row>
    <row r="21" spans="1:10" x14ac:dyDescent="0.3">
      <c r="A21" s="8" t="s">
        <v>138</v>
      </c>
      <c r="B21" s="21">
        <f>SUMIFS(Trip_Data!$K:$K,Trip_Data!$B:$B,A21)</f>
        <v>3658.3199999999997</v>
      </c>
      <c r="C21">
        <f>SUMIFS(Trip_Data!$G:$G,Trip_Data!$B:$B,A21)</f>
        <v>190.2</v>
      </c>
      <c r="D21" s="21">
        <f t="shared" si="0"/>
        <v>19.234069400630915</v>
      </c>
      <c r="E21" s="44">
        <f>SUMIFS(Maintenance_Data!$F:$F,Maintenance_Data!$B:$B,A21)</f>
        <v>51398</v>
      </c>
      <c r="F21" s="33">
        <f t="shared" si="1"/>
        <v>14.049618404076188</v>
      </c>
      <c r="G21">
        <f>COUNTIF(Trip_Data!$B:$B,A21)</f>
        <v>3</v>
      </c>
      <c r="H21">
        <f t="shared" si="2"/>
        <v>968</v>
      </c>
      <c r="I21" s="34">
        <f t="shared" si="3"/>
        <v>3.0991735537190084E-3</v>
      </c>
      <c r="J21">
        <f t="shared" si="4"/>
        <v>15</v>
      </c>
    </row>
    <row r="22" spans="1:10" x14ac:dyDescent="0.3">
      <c r="A22" s="5" t="s">
        <v>141</v>
      </c>
      <c r="B22" s="21">
        <f>SUMIFS(Trip_Data!$K:$K,Trip_Data!$B:$B,A22)</f>
        <v>1101.8999999999999</v>
      </c>
      <c r="C22">
        <f>SUMIFS(Trip_Data!$G:$G,Trip_Data!$B:$B,A22)</f>
        <v>58.1</v>
      </c>
      <c r="D22" s="21">
        <f t="shared" si="0"/>
        <v>18.965576592082613</v>
      </c>
      <c r="E22" s="44">
        <f>SUMIFS(Maintenance_Data!$F:$F,Maintenance_Data!$B:$B,A22)</f>
        <v>20518</v>
      </c>
      <c r="F22" s="33">
        <f t="shared" si="1"/>
        <v>18.62056447953535</v>
      </c>
      <c r="G22">
        <f>COUNTIF(Trip_Data!$B:$B,A22)</f>
        <v>3</v>
      </c>
      <c r="H22">
        <f t="shared" si="2"/>
        <v>968</v>
      </c>
      <c r="I22" s="34">
        <f t="shared" si="3"/>
        <v>3.0991735537190084E-3</v>
      </c>
      <c r="J22">
        <f t="shared" si="4"/>
        <v>16</v>
      </c>
    </row>
    <row r="23" spans="1:10" x14ac:dyDescent="0.3">
      <c r="A23" s="8" t="s">
        <v>144</v>
      </c>
      <c r="B23" s="21">
        <f>SUMIFS(Trip_Data!$K:$K,Trip_Data!$B:$B,A23)</f>
        <v>903.48</v>
      </c>
      <c r="C23">
        <f>SUMIFS(Trip_Data!$G:$G,Trip_Data!$B:$B,A23)</f>
        <v>62.5</v>
      </c>
      <c r="D23" s="21">
        <f t="shared" si="0"/>
        <v>14.455680000000001</v>
      </c>
      <c r="E23" s="44">
        <f>SUMIFS(Maintenance_Data!$F:$F,Maintenance_Data!$B:$B,A23)</f>
        <v>86428</v>
      </c>
      <c r="F23" s="33">
        <f t="shared" si="1"/>
        <v>95.66122105635985</v>
      </c>
      <c r="G23">
        <f>COUNTIF(Trip_Data!$B:$B,A23)</f>
        <v>2</v>
      </c>
      <c r="H23">
        <f t="shared" si="2"/>
        <v>968</v>
      </c>
      <c r="I23" s="34">
        <f t="shared" si="3"/>
        <v>2.0661157024793389E-3</v>
      </c>
      <c r="J23">
        <f t="shared" si="4"/>
        <v>27</v>
      </c>
    </row>
    <row r="24" spans="1:10" x14ac:dyDescent="0.3">
      <c r="A24" s="5" t="s">
        <v>147</v>
      </c>
      <c r="B24" s="21">
        <f>SUMIFS(Trip_Data!$K:$K,Trip_Data!$B:$B,A24)</f>
        <v>2063.9</v>
      </c>
      <c r="C24">
        <f>SUMIFS(Trip_Data!$G:$G,Trip_Data!$B:$B,A24)</f>
        <v>119.4</v>
      </c>
      <c r="D24" s="21">
        <f t="shared" si="0"/>
        <v>17.285594639865998</v>
      </c>
      <c r="E24" s="44">
        <f>SUMIFS(Maintenance_Data!$F:$F,Maintenance_Data!$B:$B,A24)</f>
        <v>10981</v>
      </c>
      <c r="F24" s="33">
        <f t="shared" si="1"/>
        <v>5.3205097146179563</v>
      </c>
      <c r="G24">
        <f>COUNTIF(Trip_Data!$B:$B,A24)</f>
        <v>2</v>
      </c>
      <c r="H24">
        <f t="shared" si="2"/>
        <v>968</v>
      </c>
      <c r="I24" s="34">
        <f t="shared" si="3"/>
        <v>2.0661157024793389E-3</v>
      </c>
      <c r="J24">
        <f t="shared" si="4"/>
        <v>23</v>
      </c>
    </row>
    <row r="25" spans="1:10" x14ac:dyDescent="0.3">
      <c r="A25" s="8" t="s">
        <v>151</v>
      </c>
      <c r="B25" s="21">
        <f>SUMIFS(Trip_Data!$K:$K,Trip_Data!$B:$B,A25)</f>
        <v>850.3</v>
      </c>
      <c r="C25">
        <f>SUMIFS(Trip_Data!$G:$G,Trip_Data!$B:$B,A25)</f>
        <v>56.8</v>
      </c>
      <c r="D25" s="21">
        <f t="shared" si="0"/>
        <v>14.970070422535212</v>
      </c>
      <c r="E25" s="44">
        <f>SUMIFS(Maintenance_Data!$F:$F,Maintenance_Data!$B:$B,A25)</f>
        <v>33718</v>
      </c>
      <c r="F25" s="33">
        <f t="shared" si="1"/>
        <v>39.654239680112902</v>
      </c>
      <c r="G25">
        <f>COUNTIF(Trip_Data!$B:$B,A25)</f>
        <v>1</v>
      </c>
      <c r="H25">
        <f t="shared" si="2"/>
        <v>968</v>
      </c>
      <c r="I25" s="34">
        <f t="shared" si="3"/>
        <v>1.0330578512396695E-3</v>
      </c>
      <c r="J25">
        <f t="shared" si="4"/>
        <v>26</v>
      </c>
    </row>
    <row r="26" spans="1:10" x14ac:dyDescent="0.3">
      <c r="A26" s="5" t="s">
        <v>154</v>
      </c>
      <c r="B26" s="21">
        <f>SUMIFS(Trip_Data!$K:$K,Trip_Data!$B:$B,A26)</f>
        <v>3203.77</v>
      </c>
      <c r="C26">
        <f>SUMIFS(Trip_Data!$G:$G,Trip_Data!$B:$B,A26)</f>
        <v>210.90000000000003</v>
      </c>
      <c r="D26" s="21">
        <f t="shared" si="0"/>
        <v>15.190943575154099</v>
      </c>
      <c r="E26" s="44">
        <f>SUMIFS(Maintenance_Data!$F:$F,Maintenance_Data!$B:$B,A26)</f>
        <v>70999</v>
      </c>
      <c r="F26" s="33">
        <f t="shared" si="1"/>
        <v>22.161078978828069</v>
      </c>
      <c r="G26">
        <f>COUNTIF(Trip_Data!$B:$B,A26)</f>
        <v>5</v>
      </c>
      <c r="H26">
        <f t="shared" si="2"/>
        <v>968</v>
      </c>
      <c r="I26" s="34">
        <f t="shared" si="3"/>
        <v>5.1652892561983473E-3</v>
      </c>
      <c r="J26">
        <f t="shared" si="4"/>
        <v>25</v>
      </c>
    </row>
    <row r="27" spans="1:10" x14ac:dyDescent="0.3">
      <c r="A27" s="8" t="s">
        <v>157</v>
      </c>
      <c r="B27" s="21">
        <f>SUMIFS(Trip_Data!$K:$K,Trip_Data!$B:$B,A27)</f>
        <v>2537.83</v>
      </c>
      <c r="C27">
        <f>SUMIFS(Trip_Data!$G:$G,Trip_Data!$B:$B,A27)</f>
        <v>99.3</v>
      </c>
      <c r="D27" s="21">
        <f t="shared" si="0"/>
        <v>25.557200402819738</v>
      </c>
      <c r="E27" s="44">
        <f>SUMIFS(Maintenance_Data!$F:$F,Maintenance_Data!$B:$B,A27)</f>
        <v>127010</v>
      </c>
      <c r="F27" s="33">
        <f t="shared" si="1"/>
        <v>50.046693434942455</v>
      </c>
      <c r="G27">
        <f>COUNTIF(Trip_Data!$B:$B,A27)</f>
        <v>5</v>
      </c>
      <c r="H27">
        <f t="shared" si="2"/>
        <v>968</v>
      </c>
      <c r="I27" s="34">
        <f t="shared" si="3"/>
        <v>5.1652892561983473E-3</v>
      </c>
      <c r="J27">
        <f t="shared" si="4"/>
        <v>6</v>
      </c>
    </row>
    <row r="28" spans="1:10" x14ac:dyDescent="0.3">
      <c r="A28" s="5" t="s">
        <v>161</v>
      </c>
      <c r="B28" s="21">
        <f>SUMIFS(Trip_Data!$K:$K,Trip_Data!$B:$B,A28)</f>
        <v>0</v>
      </c>
      <c r="C28">
        <f>SUMIFS(Trip_Data!$G:$G,Trip_Data!$B:$B,A28)</f>
        <v>0</v>
      </c>
      <c r="D28" s="21">
        <f>IF(C28=0,0,B28/C28)</f>
        <v>0</v>
      </c>
      <c r="E28" s="44">
        <f>SUMIFS(Maintenance_Data!$F:$F,Maintenance_Data!$B:$B,A28)</f>
        <v>50121</v>
      </c>
      <c r="F28" s="33">
        <f t="shared" si="1"/>
        <v>0</v>
      </c>
      <c r="G28">
        <f>COUNTIF(Trip_Data!$B:$B,A28)</f>
        <v>0</v>
      </c>
      <c r="H28">
        <f>121*8</f>
        <v>968</v>
      </c>
      <c r="I28" s="34">
        <f t="shared" si="3"/>
        <v>0</v>
      </c>
      <c r="J28">
        <f>RANK(D28,$D$2:$D$31,0)</f>
        <v>29</v>
      </c>
    </row>
    <row r="29" spans="1:10" x14ac:dyDescent="0.3">
      <c r="A29" s="8" t="s">
        <v>164</v>
      </c>
      <c r="B29" s="21">
        <f>SUMIFS(Trip_Data!$K:$K,Trip_Data!$B:$B,A29)</f>
        <v>1646.6999999999998</v>
      </c>
      <c r="C29">
        <f>SUMIFS(Trip_Data!$G:$G,Trip_Data!$B:$B,A29)</f>
        <v>61.5</v>
      </c>
      <c r="D29" s="21">
        <f t="shared" si="0"/>
        <v>26.775609756097559</v>
      </c>
      <c r="E29" s="44">
        <f>SUMIFS(Maintenance_Data!$F:$F,Maintenance_Data!$B:$B,A29)</f>
        <v>140259</v>
      </c>
      <c r="F29" s="33">
        <f t="shared" si="1"/>
        <v>85.175806157770097</v>
      </c>
      <c r="G29">
        <f>COUNTIF(Trip_Data!$B:$B,A29)</f>
        <v>2</v>
      </c>
      <c r="H29">
        <f t="shared" si="2"/>
        <v>968</v>
      </c>
      <c r="I29" s="34">
        <f t="shared" si="3"/>
        <v>2.0661157024793389E-3</v>
      </c>
      <c r="J29">
        <f t="shared" si="4"/>
        <v>4</v>
      </c>
    </row>
    <row r="30" spans="1:10" x14ac:dyDescent="0.3">
      <c r="A30" s="5" t="s">
        <v>167</v>
      </c>
      <c r="B30" s="21">
        <f>SUMIFS(Trip_Data!$K:$K,Trip_Data!$B:$B,A30)</f>
        <v>1655.17</v>
      </c>
      <c r="C30">
        <f>SUMIFS(Trip_Data!$G:$G,Trip_Data!$B:$B,A30)</f>
        <v>52</v>
      </c>
      <c r="D30" s="21">
        <f t="shared" si="0"/>
        <v>31.830192307692307</v>
      </c>
      <c r="E30" s="44">
        <f>SUMIFS(Maintenance_Data!$F:$F,Maintenance_Data!$B:$B,A30)</f>
        <v>39539</v>
      </c>
      <c r="F30" s="33">
        <f t="shared" si="1"/>
        <v>23.888180670263477</v>
      </c>
      <c r="G30">
        <f>COUNTIF(Trip_Data!$B:$B,A30)</f>
        <v>2</v>
      </c>
      <c r="H30">
        <f t="shared" si="2"/>
        <v>968</v>
      </c>
      <c r="I30" s="34">
        <f t="shared" si="3"/>
        <v>2.0661157024793389E-3</v>
      </c>
      <c r="J30">
        <f t="shared" si="4"/>
        <v>1</v>
      </c>
    </row>
    <row r="31" spans="1:10" x14ac:dyDescent="0.3">
      <c r="A31" s="8" t="s">
        <v>170</v>
      </c>
      <c r="B31" s="21">
        <f>SUMIFS(Trip_Data!$K:$K,Trip_Data!$B:$B,A31)</f>
        <v>1078.03</v>
      </c>
      <c r="C31">
        <f>SUMIFS(Trip_Data!$G:$G,Trip_Data!$B:$B,A31)</f>
        <v>79.8</v>
      </c>
      <c r="D31" s="21">
        <f t="shared" si="0"/>
        <v>13.509147869674186</v>
      </c>
      <c r="E31" s="44">
        <f>SUMIFS(Maintenance_Data!$F:$F,Maintenance_Data!$B:$B,A31)</f>
        <v>91212</v>
      </c>
      <c r="F31" s="33">
        <f t="shared" si="1"/>
        <v>84.609890262794167</v>
      </c>
      <c r="G31">
        <f>COUNTIF(Trip_Data!$B:$B,A31)</f>
        <v>4</v>
      </c>
      <c r="H31">
        <f t="shared" si="2"/>
        <v>968</v>
      </c>
      <c r="I31" s="34">
        <f t="shared" si="3"/>
        <v>4.1322314049586778E-3</v>
      </c>
      <c r="J31">
        <f t="shared" si="4"/>
        <v>28</v>
      </c>
    </row>
  </sheetData>
  <conditionalFormatting sqref="J2:J31">
    <cfRule type="expression" dxfId="4" priority="1">
      <formula>AND(J2&gt;ROUNDUP(COUNT($J$2:$J$31)*25%,0),J2&lt;=COUNT($J$2:$J$31)-ROUNDUP(COUNT($J$2:$J$31)*25%,0))</formula>
    </cfRule>
    <cfRule type="expression" dxfId="3" priority="2">
      <formula>J2&gt;COUNT($J$2:$J$31)-ROUNDUP(COUNT($J$2:$J$31)*25%,0)</formula>
    </cfRule>
    <cfRule type="expression" dxfId="2" priority="3">
      <formula>J2&lt;=ROUNDUP(COUNT($J$2:$J$31)*25%,0)</formula>
    </cfRule>
  </conditionalFormatting>
  <conditionalFormatting sqref="K10">
    <cfRule type="top10" dxfId="1" priority="7" percent="1" rank="25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0F0D2-FAA1-4BFB-93B9-6CF34E7A3F55}">
  <dimension ref="A1:E55"/>
  <sheetViews>
    <sheetView topLeftCell="A23" zoomScale="75" workbookViewId="0">
      <selection activeCell="H24" sqref="H24"/>
    </sheetView>
  </sheetViews>
  <sheetFormatPr defaultRowHeight="14.4" x14ac:dyDescent="0.3"/>
  <cols>
    <col min="1" max="1" width="31.33203125" customWidth="1"/>
    <col min="2" max="2" width="23.33203125" customWidth="1"/>
    <col min="3" max="3" width="20.109375" customWidth="1"/>
    <col min="4" max="4" width="14" customWidth="1"/>
    <col min="5" max="5" width="16" customWidth="1"/>
  </cols>
  <sheetData>
    <row r="1" spans="1:5" x14ac:dyDescent="0.3">
      <c r="A1" s="54" t="s">
        <v>754</v>
      </c>
      <c r="B1" s="54"/>
      <c r="C1" s="26"/>
      <c r="D1" s="54" t="s">
        <v>766</v>
      </c>
      <c r="E1" s="54"/>
    </row>
    <row r="2" spans="1:5" x14ac:dyDescent="0.3">
      <c r="A2" s="14" t="s">
        <v>732</v>
      </c>
      <c r="B2" s="49">
        <v>16967177</v>
      </c>
      <c r="C2" s="25"/>
      <c r="D2" s="14" t="s">
        <v>732</v>
      </c>
      <c r="E2" s="49">
        <v>16967177</v>
      </c>
    </row>
    <row r="3" spans="1:5" x14ac:dyDescent="0.3">
      <c r="A3" s="14" t="s">
        <v>741</v>
      </c>
      <c r="B3" s="21">
        <v>3910162</v>
      </c>
      <c r="C3" s="25"/>
      <c r="D3" s="14" t="s">
        <v>741</v>
      </c>
      <c r="E3" s="21">
        <v>10678366</v>
      </c>
    </row>
    <row r="4" spans="1:5" ht="28.8" x14ac:dyDescent="0.3">
      <c r="A4" s="14" t="s">
        <v>735</v>
      </c>
      <c r="B4" s="50">
        <v>1664580</v>
      </c>
      <c r="D4" s="14" t="s">
        <v>735</v>
      </c>
      <c r="E4" s="50">
        <v>1664580</v>
      </c>
    </row>
    <row r="5" spans="1:5" x14ac:dyDescent="0.3">
      <c r="A5" s="14" t="s">
        <v>743</v>
      </c>
      <c r="B5" s="50">
        <v>4624231</v>
      </c>
      <c r="D5" s="14" t="s">
        <v>743</v>
      </c>
      <c r="E5" s="50">
        <v>4624231</v>
      </c>
    </row>
    <row r="6" spans="1:5" x14ac:dyDescent="0.3">
      <c r="A6" s="14" t="s">
        <v>744</v>
      </c>
      <c r="B6" s="50">
        <f>B2-B3-B4-B5</f>
        <v>6768204</v>
      </c>
      <c r="D6" s="14" t="s">
        <v>744</v>
      </c>
      <c r="E6" s="50">
        <f>E2-E3-E4-E5</f>
        <v>0</v>
      </c>
    </row>
    <row r="7" spans="1:5" x14ac:dyDescent="0.3">
      <c r="A7" s="14"/>
      <c r="B7" s="44"/>
    </row>
    <row r="8" spans="1:5" x14ac:dyDescent="0.3">
      <c r="A8" s="14"/>
      <c r="B8" s="44"/>
    </row>
    <row r="9" spans="1:5" x14ac:dyDescent="0.3">
      <c r="A9" s="53" t="s">
        <v>746</v>
      </c>
      <c r="B9" s="53" t="s">
        <v>745</v>
      </c>
      <c r="C9" s="53" t="s">
        <v>742</v>
      </c>
    </row>
    <row r="10" spans="1:5" x14ac:dyDescent="0.3">
      <c r="A10" s="46">
        <v>0.1</v>
      </c>
      <c r="B10" s="50">
        <f>$B$3*(1+A10)</f>
        <v>4301178.2</v>
      </c>
      <c r="C10" s="21">
        <f>$B$2-B10-$B$4-$B$5</f>
        <v>6377187.8000000007</v>
      </c>
    </row>
    <row r="11" spans="1:5" x14ac:dyDescent="0.3">
      <c r="A11" s="46">
        <v>0.2</v>
      </c>
      <c r="B11" s="50">
        <f t="shared" ref="B11:B12" si="0">$B$3*(1+A11)</f>
        <v>4692194.3999999994</v>
      </c>
      <c r="C11" s="21">
        <f t="shared" ref="C11:C12" si="1">$B$2-B11-$B$4-$B$5</f>
        <v>5986171.6000000015</v>
      </c>
    </row>
    <row r="12" spans="1:5" x14ac:dyDescent="0.3">
      <c r="A12" s="47">
        <v>0.3</v>
      </c>
      <c r="B12" s="50">
        <f t="shared" si="0"/>
        <v>5083210.6000000006</v>
      </c>
      <c r="C12" s="21">
        <f t="shared" si="1"/>
        <v>5595155.3999999985</v>
      </c>
    </row>
    <row r="13" spans="1:5" x14ac:dyDescent="0.3">
      <c r="A13" s="47"/>
      <c r="B13" s="14"/>
    </row>
    <row r="14" spans="1:5" x14ac:dyDescent="0.3">
      <c r="A14" s="47"/>
      <c r="B14" s="14"/>
    </row>
    <row r="15" spans="1:5" x14ac:dyDescent="0.3">
      <c r="A15" s="47"/>
      <c r="B15" s="14"/>
    </row>
    <row r="17" spans="1:5" x14ac:dyDescent="0.3">
      <c r="A17" s="54" t="s">
        <v>747</v>
      </c>
      <c r="B17" s="54"/>
      <c r="C17" s="51"/>
    </row>
    <row r="18" spans="1:5" x14ac:dyDescent="0.3">
      <c r="A18" s="52" t="s">
        <v>748</v>
      </c>
      <c r="B18" s="52" t="s">
        <v>749</v>
      </c>
      <c r="C18" s="52" t="s">
        <v>750</v>
      </c>
    </row>
    <row r="19" spans="1:5" x14ac:dyDescent="0.3">
      <c r="A19">
        <v>1</v>
      </c>
      <c r="B19" s="21">
        <f>$B$2*A19</f>
        <v>16967177</v>
      </c>
      <c r="C19" s="21">
        <f>B19-$B$3-$B$4-$B$5</f>
        <v>6768204</v>
      </c>
    </row>
    <row r="20" spans="1:5" x14ac:dyDescent="0.3">
      <c r="A20">
        <v>1.1000000000000001</v>
      </c>
      <c r="B20" s="21">
        <f t="shared" ref="B20:B21" si="2">$B$2*A20</f>
        <v>18663894.700000003</v>
      </c>
      <c r="C20" s="21">
        <f t="shared" ref="C20:C21" si="3">B20-$B$3-$B$4-$B$5</f>
        <v>8464921.700000003</v>
      </c>
    </row>
    <row r="21" spans="1:5" x14ac:dyDescent="0.3">
      <c r="A21">
        <v>2.5</v>
      </c>
      <c r="B21" s="21">
        <f t="shared" si="2"/>
        <v>42417942.5</v>
      </c>
      <c r="C21" s="21">
        <f t="shared" si="3"/>
        <v>32218969.5</v>
      </c>
    </row>
    <row r="24" spans="1:5" x14ac:dyDescent="0.3">
      <c r="A24" s="54" t="s">
        <v>751</v>
      </c>
      <c r="B24" s="54"/>
      <c r="C24" s="54"/>
      <c r="D24" s="54"/>
      <c r="E24" s="54"/>
    </row>
    <row r="25" spans="1:5" x14ac:dyDescent="0.3">
      <c r="A25" s="52" t="s">
        <v>752</v>
      </c>
      <c r="B25" s="52" t="s">
        <v>732</v>
      </c>
      <c r="C25" s="52" t="s">
        <v>737</v>
      </c>
      <c r="D25" s="52" t="s">
        <v>753</v>
      </c>
      <c r="E25" s="52" t="s">
        <v>751</v>
      </c>
    </row>
    <row r="26" spans="1:5" x14ac:dyDescent="0.3">
      <c r="A26" s="5" t="s">
        <v>54</v>
      </c>
      <c r="B26" s="48">
        <f>Fleet_Efficiency!B2</f>
        <v>4534.1500000000005</v>
      </c>
      <c r="C26">
        <f>Fleet_Efficiency!G2</f>
        <v>7</v>
      </c>
      <c r="D26">
        <f>Fleet_Efficiency!E2</f>
        <v>42842</v>
      </c>
      <c r="E26">
        <f>IF(B26=0,0,D26*C26/B26)</f>
        <v>66.141173097493464</v>
      </c>
    </row>
    <row r="27" spans="1:5" x14ac:dyDescent="0.3">
      <c r="A27" s="8" t="s">
        <v>63</v>
      </c>
      <c r="B27" s="48">
        <f>Fleet_Efficiency!B3</f>
        <v>1310.56</v>
      </c>
      <c r="C27">
        <f>Fleet_Efficiency!G3</f>
        <v>2</v>
      </c>
      <c r="D27">
        <f>Fleet_Efficiency!E3</f>
        <v>97104</v>
      </c>
      <c r="E27">
        <f>IF(B27=0,0,D27*C27/B27)</f>
        <v>148.18703455011598</v>
      </c>
    </row>
    <row r="28" spans="1:5" x14ac:dyDescent="0.3">
      <c r="A28" s="5" t="s">
        <v>70</v>
      </c>
      <c r="B28" s="48">
        <f>Fleet_Efficiency!B4</f>
        <v>2192.0499999999997</v>
      </c>
      <c r="C28">
        <f>Fleet_Efficiency!G4</f>
        <v>5</v>
      </c>
      <c r="D28">
        <f>Fleet_Efficiency!E4</f>
        <v>47455</v>
      </c>
      <c r="E28">
        <f t="shared" ref="E28:E55" si="4">IF(B28=0,0,D28*C28/B28)</f>
        <v>108.24342510435439</v>
      </c>
    </row>
    <row r="29" spans="1:5" x14ac:dyDescent="0.3">
      <c r="A29" s="8" t="s">
        <v>77</v>
      </c>
      <c r="B29" s="48">
        <f>Fleet_Efficiency!B5</f>
        <v>944.6</v>
      </c>
      <c r="C29">
        <f>Fleet_Efficiency!G5</f>
        <v>1</v>
      </c>
      <c r="D29">
        <f>Fleet_Efficiency!E5</f>
        <v>49992</v>
      </c>
      <c r="E29">
        <f t="shared" si="4"/>
        <v>52.923988990048699</v>
      </c>
    </row>
    <row r="30" spans="1:5" x14ac:dyDescent="0.3">
      <c r="A30" s="5" t="s">
        <v>84</v>
      </c>
      <c r="B30" s="48">
        <f>Fleet_Efficiency!B6</f>
        <v>2480.2399999999998</v>
      </c>
      <c r="C30">
        <f>Fleet_Efficiency!G6</f>
        <v>3</v>
      </c>
      <c r="D30">
        <f>Fleet_Efficiency!E6</f>
        <v>40908</v>
      </c>
      <c r="E30">
        <f t="shared" si="4"/>
        <v>49.480695416572594</v>
      </c>
    </row>
    <row r="31" spans="1:5" x14ac:dyDescent="0.3">
      <c r="A31" s="8" t="s">
        <v>90</v>
      </c>
      <c r="B31" s="48">
        <f>Fleet_Efficiency!B7</f>
        <v>0</v>
      </c>
      <c r="C31">
        <f>Fleet_Efficiency!G7</f>
        <v>0</v>
      </c>
      <c r="D31">
        <f>Fleet_Efficiency!E7</f>
        <v>29146</v>
      </c>
      <c r="E31">
        <f t="shared" si="4"/>
        <v>0</v>
      </c>
    </row>
    <row r="32" spans="1:5" x14ac:dyDescent="0.3">
      <c r="A32" s="5" t="s">
        <v>94</v>
      </c>
      <c r="B32" s="48">
        <f>Fleet_Efficiency!B8</f>
        <v>1029.8499999999999</v>
      </c>
      <c r="C32">
        <f>Fleet_Efficiency!G8</f>
        <v>2</v>
      </c>
      <c r="D32">
        <f>Fleet_Efficiency!E8</f>
        <v>71638</v>
      </c>
      <c r="E32">
        <f t="shared" si="4"/>
        <v>139.12317327766181</v>
      </c>
    </row>
    <row r="33" spans="1:5" x14ac:dyDescent="0.3">
      <c r="A33" s="8" t="s">
        <v>98</v>
      </c>
      <c r="B33" s="48">
        <f>Fleet_Efficiency!B9</f>
        <v>2484.4</v>
      </c>
      <c r="C33">
        <f>Fleet_Efficiency!G9</f>
        <v>4</v>
      </c>
      <c r="D33">
        <f>Fleet_Efficiency!E9</f>
        <v>5269</v>
      </c>
      <c r="E33">
        <f t="shared" si="4"/>
        <v>8.4833360167444845</v>
      </c>
    </row>
    <row r="34" spans="1:5" x14ac:dyDescent="0.3">
      <c r="A34" s="5" t="s">
        <v>102</v>
      </c>
      <c r="B34" s="48">
        <f>Fleet_Efficiency!B10</f>
        <v>4011.21</v>
      </c>
      <c r="C34">
        <f>Fleet_Efficiency!G10</f>
        <v>5</v>
      </c>
      <c r="D34">
        <f>Fleet_Efficiency!E10</f>
        <v>30668</v>
      </c>
      <c r="E34">
        <f t="shared" si="4"/>
        <v>38.227866404401667</v>
      </c>
    </row>
    <row r="35" spans="1:5" x14ac:dyDescent="0.3">
      <c r="A35" s="8" t="s">
        <v>107</v>
      </c>
      <c r="B35" s="48">
        <f>Fleet_Efficiency!B11</f>
        <v>1649.08</v>
      </c>
      <c r="C35">
        <f>Fleet_Efficiency!G11</f>
        <v>2</v>
      </c>
      <c r="D35">
        <f>Fleet_Efficiency!E11</f>
        <v>70846</v>
      </c>
      <c r="E35">
        <f t="shared" si="4"/>
        <v>85.921847333058437</v>
      </c>
    </row>
    <row r="36" spans="1:5" x14ac:dyDescent="0.3">
      <c r="A36" s="5" t="s">
        <v>110</v>
      </c>
      <c r="B36" s="48">
        <f>Fleet_Efficiency!B12</f>
        <v>1263.52</v>
      </c>
      <c r="C36">
        <f>Fleet_Efficiency!G12</f>
        <v>3</v>
      </c>
      <c r="D36">
        <f>Fleet_Efficiency!E12</f>
        <v>91371</v>
      </c>
      <c r="E36">
        <f t="shared" si="4"/>
        <v>216.94393440547043</v>
      </c>
    </row>
    <row r="37" spans="1:5" x14ac:dyDescent="0.3">
      <c r="A37" s="8" t="s">
        <v>113</v>
      </c>
      <c r="B37" s="48">
        <f>Fleet_Efficiency!B13</f>
        <v>1842.71</v>
      </c>
      <c r="C37">
        <f>Fleet_Efficiency!G13</f>
        <v>3</v>
      </c>
      <c r="D37">
        <f>Fleet_Efficiency!E13</f>
        <v>40947</v>
      </c>
      <c r="E37">
        <f t="shared" si="4"/>
        <v>66.663229699735709</v>
      </c>
    </row>
    <row r="38" spans="1:5" x14ac:dyDescent="0.3">
      <c r="A38" s="5" t="s">
        <v>116</v>
      </c>
      <c r="B38" s="48">
        <f>Fleet_Efficiency!B14</f>
        <v>4553.2299999999996</v>
      </c>
      <c r="C38">
        <f>Fleet_Efficiency!G14</f>
        <v>6</v>
      </c>
      <c r="D38">
        <f>Fleet_Efficiency!E14</f>
        <v>24956</v>
      </c>
      <c r="E38">
        <f t="shared" si="4"/>
        <v>32.885665780116533</v>
      </c>
    </row>
    <row r="39" spans="1:5" x14ac:dyDescent="0.3">
      <c r="A39" s="8" t="s">
        <v>119</v>
      </c>
      <c r="B39" s="48">
        <f>Fleet_Efficiency!B15</f>
        <v>3393.3100000000004</v>
      </c>
      <c r="C39">
        <f>Fleet_Efficiency!G15</f>
        <v>7</v>
      </c>
      <c r="D39">
        <f>Fleet_Efficiency!E15</f>
        <v>29399</v>
      </c>
      <c r="E39">
        <f t="shared" si="4"/>
        <v>60.646684210991623</v>
      </c>
    </row>
    <row r="40" spans="1:5" x14ac:dyDescent="0.3">
      <c r="A40" s="5" t="s">
        <v>122</v>
      </c>
      <c r="B40" s="48">
        <f>Fleet_Efficiency!B16</f>
        <v>1363.11</v>
      </c>
      <c r="C40">
        <f>Fleet_Efficiency!G16</f>
        <v>3</v>
      </c>
      <c r="D40">
        <f>Fleet_Efficiency!E16</f>
        <v>3314</v>
      </c>
      <c r="E40">
        <f t="shared" si="4"/>
        <v>7.2936153355195108</v>
      </c>
    </row>
    <row r="41" spans="1:5" x14ac:dyDescent="0.3">
      <c r="A41" s="8" t="s">
        <v>125</v>
      </c>
      <c r="B41" s="48">
        <f>Fleet_Efficiency!B17</f>
        <v>1346.43</v>
      </c>
      <c r="C41">
        <f>Fleet_Efficiency!G17</f>
        <v>1</v>
      </c>
      <c r="D41">
        <f>Fleet_Efficiency!E17</f>
        <v>62273</v>
      </c>
      <c r="E41">
        <f t="shared" si="4"/>
        <v>46.250454906679138</v>
      </c>
    </row>
    <row r="42" spans="1:5" x14ac:dyDescent="0.3">
      <c r="A42" s="5" t="s">
        <v>128</v>
      </c>
      <c r="B42" s="48">
        <f>Fleet_Efficiency!B18</f>
        <v>4884.4500000000007</v>
      </c>
      <c r="C42">
        <f>Fleet_Efficiency!G18</f>
        <v>7</v>
      </c>
      <c r="D42">
        <f>Fleet_Efficiency!E18</f>
        <v>42950</v>
      </c>
      <c r="E42">
        <f t="shared" si="4"/>
        <v>61.552477761058043</v>
      </c>
    </row>
    <row r="43" spans="1:5" x14ac:dyDescent="0.3">
      <c r="A43" s="8" t="s">
        <v>132</v>
      </c>
      <c r="B43" s="48">
        <f>Fleet_Efficiency!B19</f>
        <v>4144.6100000000006</v>
      </c>
      <c r="C43">
        <f>Fleet_Efficiency!G19</f>
        <v>6</v>
      </c>
      <c r="D43">
        <f>Fleet_Efficiency!E19</f>
        <v>0</v>
      </c>
      <c r="E43">
        <f t="shared" si="4"/>
        <v>0</v>
      </c>
    </row>
    <row r="44" spans="1:5" x14ac:dyDescent="0.3">
      <c r="A44" s="5" t="s">
        <v>135</v>
      </c>
      <c r="B44" s="48">
        <f>Fleet_Efficiency!B20</f>
        <v>2888.08</v>
      </c>
      <c r="C44">
        <f>Fleet_Efficiency!G20</f>
        <v>4</v>
      </c>
      <c r="D44">
        <f>Fleet_Efficiency!E20</f>
        <v>40836</v>
      </c>
      <c r="E44">
        <f t="shared" si="4"/>
        <v>56.557990083377192</v>
      </c>
    </row>
    <row r="45" spans="1:5" x14ac:dyDescent="0.3">
      <c r="A45" s="8" t="s">
        <v>138</v>
      </c>
      <c r="B45" s="48">
        <f>Fleet_Efficiency!B21</f>
        <v>3658.3199999999997</v>
      </c>
      <c r="C45">
        <f>Fleet_Efficiency!G21</f>
        <v>3</v>
      </c>
      <c r="D45">
        <f>Fleet_Efficiency!E21</f>
        <v>51398</v>
      </c>
      <c r="E45">
        <f t="shared" si="4"/>
        <v>42.148855212228568</v>
      </c>
    </row>
    <row r="46" spans="1:5" x14ac:dyDescent="0.3">
      <c r="A46" s="5" t="s">
        <v>141</v>
      </c>
      <c r="B46" s="48">
        <f>Fleet_Efficiency!B22</f>
        <v>1101.8999999999999</v>
      </c>
      <c r="C46">
        <f>Fleet_Efficiency!G22</f>
        <v>3</v>
      </c>
      <c r="D46">
        <f>Fleet_Efficiency!E22</f>
        <v>20518</v>
      </c>
      <c r="E46">
        <f t="shared" si="4"/>
        <v>55.861693438606054</v>
      </c>
    </row>
    <row r="47" spans="1:5" x14ac:dyDescent="0.3">
      <c r="A47" s="8" t="s">
        <v>144</v>
      </c>
      <c r="B47" s="48">
        <f>Fleet_Efficiency!B23</f>
        <v>903.48</v>
      </c>
      <c r="C47">
        <f>Fleet_Efficiency!G23</f>
        <v>2</v>
      </c>
      <c r="D47">
        <f>Fleet_Efficiency!E23</f>
        <v>86428</v>
      </c>
      <c r="E47">
        <f t="shared" si="4"/>
        <v>191.3224421127197</v>
      </c>
    </row>
    <row r="48" spans="1:5" x14ac:dyDescent="0.3">
      <c r="A48" s="5" t="s">
        <v>147</v>
      </c>
      <c r="B48" s="48">
        <f>Fleet_Efficiency!B24</f>
        <v>2063.9</v>
      </c>
      <c r="C48">
        <f>Fleet_Efficiency!G24</f>
        <v>2</v>
      </c>
      <c r="D48">
        <f>Fleet_Efficiency!E24</f>
        <v>10981</v>
      </c>
      <c r="E48">
        <f t="shared" si="4"/>
        <v>10.641019429235913</v>
      </c>
    </row>
    <row r="49" spans="1:5" x14ac:dyDescent="0.3">
      <c r="A49" s="8" t="s">
        <v>151</v>
      </c>
      <c r="B49" s="48">
        <f>Fleet_Efficiency!B25</f>
        <v>850.3</v>
      </c>
      <c r="C49">
        <f>Fleet_Efficiency!G25</f>
        <v>1</v>
      </c>
      <c r="D49">
        <f>Fleet_Efficiency!E25</f>
        <v>33718</v>
      </c>
      <c r="E49">
        <f t="shared" si="4"/>
        <v>39.654239680112902</v>
      </c>
    </row>
    <row r="50" spans="1:5" x14ac:dyDescent="0.3">
      <c r="A50" s="5" t="s">
        <v>154</v>
      </c>
      <c r="B50" s="48">
        <f>Fleet_Efficiency!B26</f>
        <v>3203.77</v>
      </c>
      <c r="C50">
        <f>Fleet_Efficiency!G26</f>
        <v>5</v>
      </c>
      <c r="D50">
        <f>Fleet_Efficiency!E26</f>
        <v>70999</v>
      </c>
      <c r="E50">
        <f t="shared" si="4"/>
        <v>110.80539489414033</v>
      </c>
    </row>
    <row r="51" spans="1:5" x14ac:dyDescent="0.3">
      <c r="A51" s="8" t="s">
        <v>157</v>
      </c>
      <c r="B51" s="48">
        <f>Fleet_Efficiency!B27</f>
        <v>2537.83</v>
      </c>
      <c r="C51">
        <f>Fleet_Efficiency!G27</f>
        <v>5</v>
      </c>
      <c r="D51">
        <f>Fleet_Efficiency!E27</f>
        <v>127010</v>
      </c>
      <c r="E51">
        <f t="shared" si="4"/>
        <v>250.23346717471227</v>
      </c>
    </row>
    <row r="52" spans="1:5" x14ac:dyDescent="0.3">
      <c r="A52" s="5" t="s">
        <v>161</v>
      </c>
      <c r="B52" s="48">
        <f>Fleet_Efficiency!B28</f>
        <v>0</v>
      </c>
      <c r="C52">
        <f>Fleet_Efficiency!G28</f>
        <v>0</v>
      </c>
      <c r="D52">
        <f>Fleet_Efficiency!E28</f>
        <v>50121</v>
      </c>
      <c r="E52">
        <f t="shared" si="4"/>
        <v>0</v>
      </c>
    </row>
    <row r="53" spans="1:5" x14ac:dyDescent="0.3">
      <c r="A53" s="8" t="s">
        <v>164</v>
      </c>
      <c r="B53" s="48">
        <f>Fleet_Efficiency!B29</f>
        <v>1646.6999999999998</v>
      </c>
      <c r="C53">
        <f>Fleet_Efficiency!G29</f>
        <v>2</v>
      </c>
      <c r="D53">
        <f>Fleet_Efficiency!E29</f>
        <v>140259</v>
      </c>
      <c r="E53">
        <f t="shared" si="4"/>
        <v>170.35161231554019</v>
      </c>
    </row>
    <row r="54" spans="1:5" x14ac:dyDescent="0.3">
      <c r="A54" s="5" t="s">
        <v>167</v>
      </c>
      <c r="B54" s="48">
        <f>Fleet_Efficiency!B30</f>
        <v>1655.17</v>
      </c>
      <c r="C54">
        <f>Fleet_Efficiency!G30</f>
        <v>2</v>
      </c>
      <c r="D54">
        <f>Fleet_Efficiency!E30</f>
        <v>39539</v>
      </c>
      <c r="E54">
        <f t="shared" si="4"/>
        <v>47.776361340526954</v>
      </c>
    </row>
    <row r="55" spans="1:5" x14ac:dyDescent="0.3">
      <c r="A55" s="8" t="s">
        <v>170</v>
      </c>
      <c r="B55" s="48">
        <f>Fleet_Efficiency!B31</f>
        <v>1078.03</v>
      </c>
      <c r="C55">
        <f>Fleet_Efficiency!G31</f>
        <v>4</v>
      </c>
      <c r="D55">
        <f>Fleet_Efficiency!E31</f>
        <v>91212</v>
      </c>
      <c r="E55">
        <f t="shared" si="4"/>
        <v>338.43956105117667</v>
      </c>
    </row>
  </sheetData>
  <mergeCells count="4">
    <mergeCell ref="A1:B1"/>
    <mergeCell ref="A17:B17"/>
    <mergeCell ref="A24:E24"/>
    <mergeCell ref="D1:E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24B0A-49AC-4030-A27F-FA8747D07CDA}">
  <dimension ref="A1:O20"/>
  <sheetViews>
    <sheetView tabSelected="1" zoomScale="75" workbookViewId="0">
      <selection activeCell="K26" sqref="K26"/>
    </sheetView>
  </sheetViews>
  <sheetFormatPr defaultRowHeight="14.4" x14ac:dyDescent="0.3"/>
  <cols>
    <col min="1" max="1" width="18.21875" customWidth="1"/>
    <col min="2" max="2" width="16.33203125" customWidth="1"/>
    <col min="3" max="3" width="19.33203125" customWidth="1"/>
    <col min="4" max="4" width="17.21875" customWidth="1"/>
    <col min="5" max="5" width="21.5546875" customWidth="1"/>
    <col min="6" max="6" width="19.5546875" customWidth="1"/>
    <col min="7" max="7" width="13.33203125" customWidth="1"/>
    <col min="12" max="12" width="24.44140625" customWidth="1"/>
    <col min="13" max="13" width="15.33203125" customWidth="1"/>
    <col min="14" max="14" width="23.44140625" customWidth="1"/>
    <col min="15" max="15" width="17.109375" customWidth="1"/>
  </cols>
  <sheetData>
    <row r="1" spans="1:15" x14ac:dyDescent="0.3">
      <c r="A1" s="87" t="s">
        <v>755</v>
      </c>
      <c r="B1" s="88"/>
      <c r="C1" s="88"/>
      <c r="D1" s="88"/>
      <c r="E1" s="88"/>
      <c r="F1" s="88"/>
      <c r="G1" s="88"/>
      <c r="H1" s="88"/>
      <c r="I1" s="88"/>
      <c r="J1" s="88"/>
    </row>
    <row r="2" spans="1:15" ht="50.4" customHeight="1" x14ac:dyDescent="0.3">
      <c r="A2" s="88"/>
      <c r="B2" s="88"/>
      <c r="C2" s="88"/>
      <c r="D2" s="88"/>
      <c r="E2" s="88"/>
      <c r="F2" s="88"/>
      <c r="G2" s="88"/>
      <c r="H2" s="88"/>
      <c r="I2" s="88"/>
      <c r="J2" s="88"/>
    </row>
    <row r="4" spans="1:15" x14ac:dyDescent="0.3">
      <c r="N4" t="s">
        <v>757</v>
      </c>
      <c r="O4">
        <f>COUNTA(Fleet_Vehicle_Data!A2:A31)</f>
        <v>30</v>
      </c>
    </row>
    <row r="5" spans="1:15" x14ac:dyDescent="0.3">
      <c r="N5" t="s">
        <v>756</v>
      </c>
      <c r="O5">
        <f>COUNTIF(Fleet_Vehicle_Data!H2:H31,"Active")</f>
        <v>25</v>
      </c>
    </row>
    <row r="6" spans="1:15" x14ac:dyDescent="0.3">
      <c r="N6" t="s">
        <v>694</v>
      </c>
      <c r="O6" s="21">
        <f>SUM(Cleaned_Revenue!G2:G97)</f>
        <v>16967177</v>
      </c>
    </row>
    <row r="7" spans="1:15" x14ac:dyDescent="0.3">
      <c r="N7" t="s">
        <v>758</v>
      </c>
      <c r="O7">
        <f>AVERAGE(Fleet_Vehicle_Data!O2:O31)</f>
        <v>4.206666666666667</v>
      </c>
    </row>
    <row r="10" spans="1:15" ht="21" x14ac:dyDescent="0.4">
      <c r="A10" s="89" t="s">
        <v>759</v>
      </c>
      <c r="B10" s="89"/>
      <c r="C10" s="89"/>
      <c r="D10" s="51"/>
    </row>
    <row r="11" spans="1:15" x14ac:dyDescent="0.3">
      <c r="B11" t="s">
        <v>761</v>
      </c>
      <c r="C11" t="s">
        <v>762</v>
      </c>
      <c r="D11" t="s">
        <v>763</v>
      </c>
    </row>
    <row r="12" spans="1:15" x14ac:dyDescent="0.3">
      <c r="A12" t="s">
        <v>760</v>
      </c>
      <c r="B12" s="33">
        <v>0.16492329315925094</v>
      </c>
      <c r="C12" s="33">
        <v>-7.7329152824545166E-2</v>
      </c>
      <c r="D12" s="33">
        <v>0.17845717880707643</v>
      </c>
      <c r="K12">
        <f>(N13-N12)/N12</f>
        <v>0.16492329315925094</v>
      </c>
      <c r="M12" t="s">
        <v>682</v>
      </c>
      <c r="N12">
        <f>SUMIF(Cleaned_Revenue!$A:$A,M12,Cleaned_Revenue!$G:$G)</f>
        <v>3765114</v>
      </c>
    </row>
    <row r="13" spans="1:15" x14ac:dyDescent="0.3">
      <c r="K13">
        <f t="shared" ref="K13:K14" si="0">(N14-N13)/N13</f>
        <v>-7.7329152824545166E-2</v>
      </c>
      <c r="M13" s="8" t="s">
        <v>683</v>
      </c>
      <c r="N13">
        <f>SUMIF(Cleaned_Revenue!$A:$A,M13,Cleaned_Revenue!$G:$G)</f>
        <v>4386069</v>
      </c>
    </row>
    <row r="14" spans="1:15" x14ac:dyDescent="0.3">
      <c r="A14" s="90" t="s">
        <v>764</v>
      </c>
      <c r="B14" s="90"/>
      <c r="C14" s="90"/>
      <c r="E14" s="90" t="s">
        <v>765</v>
      </c>
      <c r="F14" s="90"/>
      <c r="G14" s="90"/>
      <c r="K14">
        <f t="shared" si="0"/>
        <v>0.17845717880707643</v>
      </c>
      <c r="M14" t="s">
        <v>684</v>
      </c>
      <c r="N14">
        <f>SUMIF(Cleaned_Revenue!$A:$A,M14,Cleaned_Revenue!$G:$G)</f>
        <v>4046898</v>
      </c>
    </row>
    <row r="15" spans="1:15" x14ac:dyDescent="0.3">
      <c r="A15" s="45" t="s">
        <v>740</v>
      </c>
      <c r="B15" s="45" t="s">
        <v>695</v>
      </c>
      <c r="C15" s="45" t="s">
        <v>734</v>
      </c>
      <c r="E15" s="45" t="s">
        <v>740</v>
      </c>
      <c r="F15" s="45" t="s">
        <v>695</v>
      </c>
      <c r="G15" s="45" t="s">
        <v>734</v>
      </c>
      <c r="M15" t="s">
        <v>685</v>
      </c>
      <c r="N15">
        <f>SUMIF(Cleaned_Revenue!$A:$A,M15,Cleaned_Revenue!$G:$G)</f>
        <v>4769096</v>
      </c>
    </row>
    <row r="16" spans="1:15" x14ac:dyDescent="0.3">
      <c r="A16" s="14">
        <v>1</v>
      </c>
      <c r="B16" s="14" t="s">
        <v>167</v>
      </c>
      <c r="C16" s="14">
        <v>31.83</v>
      </c>
      <c r="E16" s="14">
        <v>30</v>
      </c>
      <c r="F16" s="14" t="s">
        <v>90</v>
      </c>
      <c r="G16" s="14">
        <v>0</v>
      </c>
    </row>
    <row r="17" spans="1:7" x14ac:dyDescent="0.3">
      <c r="A17" s="14">
        <v>2</v>
      </c>
      <c r="B17" s="14" t="s">
        <v>125</v>
      </c>
      <c r="C17" s="14">
        <v>28.29</v>
      </c>
      <c r="E17" s="14">
        <v>29</v>
      </c>
      <c r="F17" s="14" t="s">
        <v>161</v>
      </c>
      <c r="G17" s="14">
        <v>0</v>
      </c>
    </row>
    <row r="18" spans="1:7" x14ac:dyDescent="0.3">
      <c r="A18" s="14">
        <v>3</v>
      </c>
      <c r="B18" s="14" t="s">
        <v>84</v>
      </c>
      <c r="C18" s="14">
        <v>26.99</v>
      </c>
      <c r="E18" s="14">
        <v>28</v>
      </c>
      <c r="F18" s="14" t="s">
        <v>170</v>
      </c>
      <c r="G18" s="14">
        <v>13.51</v>
      </c>
    </row>
    <row r="19" spans="1:7" x14ac:dyDescent="0.3">
      <c r="A19" s="14">
        <v>4</v>
      </c>
      <c r="B19" s="14" t="s">
        <v>164</v>
      </c>
      <c r="C19" s="14">
        <v>26.78</v>
      </c>
      <c r="E19" s="14">
        <v>27</v>
      </c>
      <c r="F19" s="14" t="s">
        <v>144</v>
      </c>
      <c r="G19" s="14">
        <v>14.46</v>
      </c>
    </row>
    <row r="20" spans="1:7" x14ac:dyDescent="0.3">
      <c r="A20" s="14">
        <v>5</v>
      </c>
      <c r="B20" s="14" t="s">
        <v>113</v>
      </c>
      <c r="C20" s="14">
        <v>25.92</v>
      </c>
      <c r="E20" s="14">
        <v>26</v>
      </c>
      <c r="F20" s="14" t="s">
        <v>151</v>
      </c>
      <c r="G20" s="14">
        <v>14.97</v>
      </c>
    </row>
  </sheetData>
  <mergeCells count="4">
    <mergeCell ref="A1:J2"/>
    <mergeCell ref="A10:C10"/>
    <mergeCell ref="A14:C14"/>
    <mergeCell ref="E14:G14"/>
  </mergeCells>
  <conditionalFormatting sqref="M13">
    <cfRule type="expression" dxfId="0" priority="1">
      <formula>$N13="ERROR"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Assessment_Instructions</vt:lpstr>
      <vt:lpstr>Assessment_Tasks</vt:lpstr>
      <vt:lpstr>Fleet_Vehicle_Data</vt:lpstr>
      <vt:lpstr>Trip_Data</vt:lpstr>
      <vt:lpstr>Driver_Data</vt:lpstr>
      <vt:lpstr>Maintenance_Data</vt:lpstr>
      <vt:lpstr>Revenue_Summary_Raw</vt:lpstr>
      <vt:lpstr>Analysis_A1_A2</vt:lpstr>
      <vt:lpstr>Analysis_A3</vt:lpstr>
      <vt:lpstr>Cleaned_Revenue</vt:lpstr>
      <vt:lpstr>Validation_Report</vt:lpstr>
      <vt:lpstr>Pivot_Analysis</vt:lpstr>
      <vt:lpstr>Charts_Data</vt:lpstr>
      <vt:lpstr>Dashboard_Charts</vt:lpstr>
      <vt:lpstr>Fleet_Efficiency</vt:lpstr>
      <vt:lpstr>Scenario_Analysis</vt:lpstr>
      <vt:lpstr>Executive_Summary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Nikhil Goswami</cp:lastModifiedBy>
  <dcterms:created xsi:type="dcterms:W3CDTF">2026-05-25T04:43:11Z</dcterms:created>
  <dcterms:modified xsi:type="dcterms:W3CDTF">2026-07-08T14:24:48Z</dcterms:modified>
</cp:coreProperties>
</file>