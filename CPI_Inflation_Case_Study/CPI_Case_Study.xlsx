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India_Index_Upto_April23 (1" sheetId="1" r:id="rId4"/>
    <sheet state="visible" name="Data Clean" sheetId="2" r:id="rId5"/>
    <sheet state="visible" name="Problem 1" sheetId="3" r:id="rId6"/>
    <sheet state="visible" name="Problem 2" sheetId="4" r:id="rId7"/>
    <sheet state="visible" name="Problem 3" sheetId="5" r:id="rId8"/>
    <sheet state="visible" name="Problem 4" sheetId="6" r:id="rId9"/>
    <sheet state="visible" name="Problem 5" sheetId="7" r:id="rId10"/>
    <sheet state="visible" name="Summary" sheetId="8" r:id="rId11"/>
  </sheets>
  <definedNames>
    <definedName hidden="1" localSheetId="0" name="_xlnm._FilterDatabase">'All_India_Index_Upto_April23 (1'!$A$1:$AD$373</definedName>
    <definedName hidden="1" localSheetId="1" name="_xlnm._FilterDatabase">'Data Clean'!$A$1:$AD$373</definedName>
    <definedName hidden="1" localSheetId="3" name="_xlnm._FilterDatabase">'Problem 2'!$A$16:$D$16</definedName>
    <definedName hidden="1" localSheetId="4" name="_xlnm._FilterDatabase">'Problem 3'!$E$1:$H$1</definedName>
  </definedNames>
  <calcPr/>
  <extLst>
    <ext uri="GoogleSheetsCustomDataVersion2">
      <go:sheetsCustomData xmlns:go="http://customooxmlschemas.google.com/" r:id="rId12" roundtripDataChecksum="hEHUIaHPoHi7HJ46/OwVO0iNZ+TrYLv35cbVDseVmdc="/>
    </ext>
  </extLst>
</workbook>
</file>

<file path=xl/sharedStrings.xml><?xml version="1.0" encoding="utf-8"?>
<sst xmlns="http://schemas.openxmlformats.org/spreadsheetml/2006/main" count="1942" uniqueCount="102">
  <si>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</si>
  <si>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</si>
  <si>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</si>
  <si>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</si>
  <si>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</si>
  <si>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</si>
  <si>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</si>
  <si>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</si>
  <si>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</si>
  <si>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</si>
  <si>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</si>
  <si>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</si>
  <si>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</si>
  <si>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</si>
  <si>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</si>
  <si>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</si>
  <si>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</si>
  <si>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</si>
  <si>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</si>
  <si>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</si>
  <si>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</si>
  <si>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</si>
  <si>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</si>
  <si>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</si>
  <si>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</si>
  <si>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</si>
  <si>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</si>
  <si>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</si>
  <si>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</si>
  <si>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</si>
  <si>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</si>
  <si>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</si>
  <si>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</si>
  <si>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</si>
  <si>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</si>
  <si>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</si>
  <si>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</si>
  <si>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</si>
  <si>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</si>
  <si>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</si>
  <si>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</si>
  <si>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</si>
  <si>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</si>
  <si>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</si>
  <si>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</si>
  <si>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</si>
  <si>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</si>
  <si>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</si>
  <si>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</si>
  <si>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Broader Category</t>
  </si>
  <si>
    <t>Calculated Value (Approx)</t>
  </si>
  <si>
    <t>Contribution %</t>
  </si>
  <si>
    <t>Food</t>
  </si>
  <si>
    <t>Stimulants</t>
  </si>
  <si>
    <t>Energy</t>
  </si>
  <si>
    <t>Household</t>
  </si>
  <si>
    <t>Transportation</t>
  </si>
  <si>
    <t>Recreation</t>
  </si>
  <si>
    <t>Personal Care</t>
  </si>
  <si>
    <t>Total</t>
  </si>
  <si>
    <t>Jan index</t>
  </si>
  <si>
    <t>Dec index</t>
  </si>
  <si>
    <t>Inflation %</t>
  </si>
  <si>
    <t>Comparison Table</t>
  </si>
  <si>
    <t>Category</t>
  </si>
  <si>
    <t>Jan 2019 Value</t>
  </si>
  <si>
    <t>Dec 2019 Value</t>
  </si>
  <si>
    <t>Growth %</t>
  </si>
  <si>
    <t>Year/Month</t>
  </si>
  <si>
    <t>Food Bucket Value</t>
  </si>
  <si>
    <t>Month On Month % Change</t>
  </si>
  <si>
    <t>May 22 Value</t>
  </si>
  <si>
    <t>May 23 Value</t>
  </si>
  <si>
    <t>Change (Absolute)</t>
  </si>
  <si>
    <t>General Index</t>
  </si>
  <si>
    <t>Health Index</t>
  </si>
  <si>
    <t>Transport Index</t>
  </si>
  <si>
    <t>Food Index</t>
  </si>
  <si>
    <t>General MoM %</t>
  </si>
  <si>
    <t>Health MoM %</t>
  </si>
  <si>
    <t>Transport MoM %</t>
  </si>
  <si>
    <t>Food MoM %</t>
  </si>
  <si>
    <t>Pre-COVID Average (Dec '19 – Feb '20):</t>
  </si>
  <si>
    <t>General</t>
  </si>
  <si>
    <t>Transport</t>
  </si>
  <si>
    <t>Post-COVID Average (Apr '20 – Jun '20)</t>
  </si>
  <si>
    <t>Impact on each category in %</t>
  </si>
  <si>
    <t>Date</t>
  </si>
  <si>
    <t>Oils Inflation</t>
  </si>
  <si>
    <t>Oil Price Change%</t>
  </si>
  <si>
    <t>Food Inflation</t>
  </si>
  <si>
    <t>Food Infl. Change%</t>
  </si>
  <si>
    <t>Fuel Inflation</t>
  </si>
  <si>
    <t>Fuel Infl. Change%</t>
  </si>
  <si>
    <t>Transport Inflation</t>
  </si>
  <si>
    <t>Transport Infl. Change%</t>
  </si>
  <si>
    <t>Correlation Result</t>
  </si>
  <si>
    <t>Interpretation</t>
  </si>
  <si>
    <t>Negligible Impact</t>
  </si>
  <si>
    <t>Fuel</t>
  </si>
  <si>
    <t>Moderately Impacted</t>
  </si>
  <si>
    <t>Moderately Impacted but less than Fuel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</si>
</sst>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2.0"/>
      <color rgb="FF1F1F1F"/>
      <name val="Calibri"/>
    </font>
    <font>
      <b/>
      <sz val="11.0"/>
      <color rgb="FF1F1F1F"/>
      <name val="Calibri"/>
    </font>
    <font>
      <b/>
      <sz val="10.0"/>
      <color rgb="FF444746"/>
      <name val="Calibri"/>
    </font>
    <font>
      <b/>
      <sz val="11.0"/>
      <color theme="1"/>
      <name val="Calibri"/>
    </font>
    <font>
      <b/>
      <sz val="12.0"/>
      <color theme="1"/>
      <name val="Calibri"/>
    </font>
    <font/>
    <font>
      <b/>
      <sz val="14.0"/>
      <color theme="1"/>
      <name val="Calibri"/>
    </font>
    <font>
      <sz val="11.0"/>
      <color rgb="FF444746"/>
      <name val="Arial"/>
    </font>
    <font>
      <sz val="8.0"/>
      <color rgb="FF8430CE"/>
      <name val="Arial"/>
    </font>
    <font>
      <sz val="8.0"/>
      <color rgb="FF5F6368"/>
      <name val="Arial"/>
    </font>
    <font>
      <sz val="8.0"/>
      <color rgb="FF444746"/>
      <name val="Arial"/>
    </font>
    <font>
      <sz val="11.0"/>
      <color rgb="FF1F1F1F"/>
      <name val="Arial"/>
    </font>
    <font>
      <b/>
      <sz val="11.0"/>
      <color rgb="FF1F1F1F"/>
      <name val="Arial"/>
    </font>
    <font>
      <b/>
      <sz val="13.0"/>
      <color rgb="FF1F1F1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Border="1" applyFont="1"/>
    <xf borderId="2" fillId="0" fontId="2" numFmtId="0" xfId="0" applyBorder="1" applyFont="1"/>
    <xf borderId="2" fillId="3" fontId="3" numFmtId="0" xfId="0" applyAlignment="1" applyBorder="1" applyFill="1" applyFont="1">
      <alignment horizontal="left" readingOrder="1" shrinkToFit="0" vertical="center" wrapText="1"/>
    </xf>
    <xf borderId="2" fillId="4" fontId="4" numFmtId="0" xfId="0" applyAlignment="1" applyBorder="1" applyFill="1" applyFont="1">
      <alignment horizontal="left" readingOrder="1" shrinkToFit="0" vertical="center" wrapText="1"/>
    </xf>
    <xf borderId="2" fillId="5" fontId="5" numFmtId="0" xfId="0" applyAlignment="1" applyBorder="1" applyFill="1" applyFont="1">
      <alignment horizontal="left" readingOrder="1" shrinkToFit="0" vertical="center" wrapText="1"/>
    </xf>
    <xf borderId="2" fillId="0" fontId="3" numFmtId="2" xfId="0" applyAlignment="1" applyBorder="1" applyFont="1" applyNumberFormat="1">
      <alignment horizontal="left" readingOrder="1" shrinkToFit="0" vertical="center" wrapText="1"/>
    </xf>
    <xf borderId="2" fillId="0" fontId="6" numFmtId="0" xfId="0" applyBorder="1" applyFont="1"/>
    <xf borderId="2" fillId="0" fontId="6" numFmtId="2" xfId="0" applyBorder="1" applyFont="1" applyNumberFormat="1"/>
    <xf borderId="2" fillId="6" fontId="2" numFmtId="0" xfId="0" applyBorder="1" applyFill="1" applyFont="1"/>
    <xf borderId="2" fillId="6" fontId="2" numFmtId="2" xfId="0" applyBorder="1" applyFont="1" applyNumberFormat="1"/>
    <xf borderId="3" fillId="7" fontId="7" numFmtId="0" xfId="0" applyAlignment="1" applyBorder="1" applyFill="1" applyFont="1">
      <alignment horizontal="center"/>
    </xf>
    <xf borderId="4" fillId="0" fontId="8" numFmtId="0" xfId="0" applyBorder="1" applyFont="1"/>
    <xf borderId="5" fillId="0" fontId="8" numFmtId="0" xfId="0" applyBorder="1" applyFont="1"/>
    <xf borderId="2" fillId="3" fontId="2" numFmtId="0" xfId="0" applyBorder="1" applyFont="1"/>
    <xf borderId="2" fillId="5" fontId="2" numFmtId="0" xfId="0" applyBorder="1" applyFont="1"/>
    <xf borderId="2" fillId="7" fontId="7" numFmtId="0" xfId="0" applyBorder="1" applyFont="1"/>
    <xf borderId="2" fillId="0" fontId="2" numFmtId="17" xfId="0" applyBorder="1" applyFont="1" applyNumberFormat="1"/>
    <xf borderId="2" fillId="0" fontId="2" numFmtId="2" xfId="0" applyBorder="1" applyFont="1" applyNumberFormat="1"/>
    <xf borderId="2" fillId="8" fontId="2" numFmtId="0" xfId="0" applyBorder="1" applyFill="1" applyFont="1"/>
    <xf borderId="3" fillId="7" fontId="2" numFmtId="0" xfId="0" applyAlignment="1" applyBorder="1" applyFont="1">
      <alignment horizontal="center"/>
    </xf>
    <xf borderId="0" fillId="0" fontId="2" numFmtId="9" xfId="0" applyFont="1" applyNumberFormat="1"/>
    <xf borderId="2" fillId="2" fontId="2" numFmtId="10" xfId="0" applyBorder="1" applyFont="1" applyNumberFormat="1"/>
    <xf borderId="2" fillId="0" fontId="2" numFmtId="10" xfId="0" applyBorder="1" applyFont="1" applyNumberFormat="1"/>
    <xf borderId="6" fillId="9" fontId="9" numFmtId="0" xfId="0" applyBorder="1" applyFill="1" applyFont="1"/>
    <xf borderId="2" fillId="9" fontId="9" numFmtId="0" xfId="0" applyBorder="1" applyFont="1"/>
    <xf borderId="6" fillId="10" fontId="2" numFmtId="0" xfId="0" applyBorder="1" applyFill="1" applyFont="1"/>
    <xf borderId="2" fillId="10" fontId="2" numFmtId="0" xfId="0" applyBorder="1" applyFont="1"/>
    <xf borderId="0" fillId="0" fontId="2" numFmtId="10" xfId="0" applyFont="1" applyNumberFormat="1"/>
    <xf borderId="0" fillId="0" fontId="10" numFmtId="0" xfId="0" applyAlignment="1" applyFont="1">
      <alignment horizontal="left" readingOrder="1" vertical="center"/>
    </xf>
    <xf borderId="0" fillId="0" fontId="11" numFmtId="0" xfId="0" applyAlignment="1" applyFont="1">
      <alignment horizontal="left" readingOrder="1" vertical="center"/>
    </xf>
    <xf borderId="0" fillId="0" fontId="2" numFmtId="0" xfId="0" applyAlignment="1" applyFont="1">
      <alignment horizontal="left" readingOrder="1" vertical="center"/>
    </xf>
    <xf borderId="0" fillId="0" fontId="12" numFmtId="0" xfId="0" applyAlignment="1" applyFont="1">
      <alignment horizontal="left" readingOrder="1" vertical="center"/>
    </xf>
    <xf borderId="0" fillId="0" fontId="13" numFmtId="0" xfId="0" applyAlignment="1" applyFont="1">
      <alignment horizontal="left" readingOrder="1" vertical="center"/>
    </xf>
    <xf borderId="0" fillId="0" fontId="14" numFmtId="0" xfId="0" applyAlignment="1" applyFont="1">
      <alignment horizontal="left" readingOrder="1" vertical="center"/>
    </xf>
    <xf borderId="0" fillId="0" fontId="15" numFmtId="0" xfId="0" applyAlignment="1" applyFont="1">
      <alignment horizontal="left" readingOrder="1" vertical="center"/>
    </xf>
    <xf borderId="0" fillId="0" fontId="16" numFmtId="0" xfId="0" applyAlignment="1" applyFont="1">
      <alignment horizontal="left" readingOrder="1" vertical="center"/>
    </xf>
    <xf borderId="0" fillId="0" fontId="15" numFmtId="0" xfId="0" applyAlignment="1" applyFont="1">
      <alignment horizontal="left" readingOrder="1" vertical="center"/>
    </xf>
    <xf borderId="0" fillId="0" fontId="14" numFmtId="0" xfId="0" applyAlignment="1" applyFont="1">
      <alignment horizontal="left" readingOrder="1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Inflation % From 2017 to 2023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Inflation %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'Problem 2'!$A$2:$A$8</c:f>
            </c:strRef>
          </c:cat>
          <c:val>
            <c:numRef>
              <c:f>'Problem 2'!$D$2:$D$8</c:f>
              <c:numCache/>
            </c:numRef>
          </c:val>
          <c:smooth val="0"/>
        </c:ser>
        <c:axId val="991065215"/>
        <c:axId val="263871909"/>
      </c:lineChart>
      <c:catAx>
        <c:axId val="991065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3871909"/>
      </c:catAx>
      <c:valAx>
        <c:axId val="26387190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1065215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647700</xdr:colOff>
      <xdr:row>4</xdr:row>
      <xdr:rowOff>0</xdr:rowOff>
    </xdr:from>
    <xdr:ext cx="5038725" cy="1076325"/>
    <xdr:sp>
      <xdr:nvSpPr>
        <xdr:cNvPr id="3" name="Shape 3"/>
        <xdr:cNvSpPr txBox="1"/>
      </xdr:nvSpPr>
      <xdr:spPr>
        <a:xfrm>
          <a:off x="2831400" y="3246600"/>
          <a:ext cx="5029200" cy="1066800"/>
        </a:xfrm>
        <a:prstGeom prst="rect">
          <a:avLst/>
        </a:prstGeom>
        <a:solidFill>
          <a:srgbClr val="FBE4D4"/>
        </a:solidFill>
        <a:ln cap="flat" cmpd="sng" w="127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Highest Contribution Category: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"Food"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category has the highest contribution towards the CPI basket (approximately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51.7%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 latest month (May 2023).</a:t>
          </a:r>
          <a:endParaRPr sz="14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85725</xdr:colOff>
      <xdr:row>10</xdr:row>
      <xdr:rowOff>171450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5819775" cy="3609975"/>
    <xdr:graphicFrame>
      <xdr:nvGraphicFramePr>
        <xdr:cNvPr id="121658772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153025" cy="514350"/>
    <xdr:sp>
      <xdr:nvSpPr>
        <xdr:cNvPr id="5" name="Shape 5"/>
        <xdr:cNvSpPr txBox="1"/>
      </xdr:nvSpPr>
      <xdr:spPr>
        <a:xfrm>
          <a:off x="2774250" y="3532350"/>
          <a:ext cx="5143500" cy="495300"/>
        </a:xfrm>
        <a:prstGeom prst="rect">
          <a:avLst/>
        </a:prstGeom>
        <a:solidFill>
          <a:srgbClr val="FBE4D4"/>
        </a:solidFill>
        <a:ln cap="flat" cmpd="sng" w="127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2023 infaltion data is  Jan to May only. that's why inflation % for 2023 is low.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133350</xdr:rowOff>
    </xdr:from>
    <xdr:ext cx="5153025" cy="333375"/>
    <xdr:sp>
      <xdr:nvSpPr>
        <xdr:cNvPr id="6" name="Shape 6"/>
        <xdr:cNvSpPr txBox="1"/>
      </xdr:nvSpPr>
      <xdr:spPr>
        <a:xfrm>
          <a:off x="2774250" y="3618075"/>
          <a:ext cx="5143500" cy="323850"/>
        </a:xfrm>
        <a:prstGeom prst="rect">
          <a:avLst/>
        </a:prstGeom>
        <a:solidFill>
          <a:srgbClr val="FBE4D4"/>
        </a:solidFill>
        <a:ln cap="flat" cmpd="sng" w="127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Year with Highest Inflation Rate: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2019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(7.74%)</a:t>
          </a:r>
          <a:endParaRPr sz="1400"/>
        </a:p>
      </xdr:txBody>
    </xdr:sp>
    <xdr:clientData fLocksWithSheet="0"/>
  </xdr:oneCellAnchor>
  <xdr:oneCellAnchor>
    <xdr:from>
      <xdr:col>7</xdr:col>
      <xdr:colOff>533400</xdr:colOff>
      <xdr:row>13</xdr:row>
      <xdr:rowOff>133350</xdr:rowOff>
    </xdr:from>
    <xdr:ext cx="190500" cy="266700"/>
    <xdr:sp>
      <xdr:nvSpPr>
        <xdr:cNvPr id="7" name="Shape 7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21</xdr:row>
      <xdr:rowOff>0</xdr:rowOff>
    </xdr:from>
    <xdr:ext cx="4086225" cy="561975"/>
    <xdr:sp>
      <xdr:nvSpPr>
        <xdr:cNvPr id="8" name="Shape 8"/>
        <xdr:cNvSpPr txBox="1"/>
      </xdr:nvSpPr>
      <xdr:spPr>
        <a:xfrm>
          <a:off x="3312413" y="3508538"/>
          <a:ext cx="4067175" cy="542925"/>
        </a:xfrm>
        <a:prstGeom prst="rect">
          <a:avLst/>
        </a:prstGeom>
        <a:solidFill>
          <a:srgbClr val="FBE4D4"/>
        </a:solidFill>
        <a:ln cap="flat" cmpd="sng" w="127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analysis shows that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Vegetables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witnessed an abnormal price spike of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65.3%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from Jan to Dec 2019.</a:t>
          </a:r>
          <a:endParaRPr sz="1400"/>
        </a:p>
      </xdr:txBody>
    </xdr:sp>
    <xdr:clientData fLocksWithSheet="0"/>
  </xdr:oneCellAnchor>
  <xdr:oneCellAnchor>
    <xdr:from>
      <xdr:col>5</xdr:col>
      <xdr:colOff>161925</xdr:colOff>
      <xdr:row>14</xdr:row>
      <xdr:rowOff>0</xdr:rowOff>
    </xdr:from>
    <xdr:ext cx="190500" cy="266700"/>
    <xdr:sp>
      <xdr:nvSpPr>
        <xdr:cNvPr id="7" name="Shape 7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14</xdr:row>
      <xdr:rowOff>171450</xdr:rowOff>
    </xdr:from>
    <xdr:ext cx="4114800" cy="1085850"/>
    <xdr:sp>
      <xdr:nvSpPr>
        <xdr:cNvPr id="9" name="Shape 9"/>
        <xdr:cNvSpPr txBox="1"/>
      </xdr:nvSpPr>
      <xdr:spPr>
        <a:xfrm>
          <a:off x="3293363" y="3237075"/>
          <a:ext cx="4105275" cy="1085850"/>
        </a:xfrm>
        <a:prstGeom prst="rect">
          <a:avLst/>
        </a:prstGeom>
        <a:solidFill>
          <a:srgbClr val="FBE4D4"/>
        </a:solidFill>
        <a:ln cap="flat" cmpd="sng" w="127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Highest Food Inflation Month: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June 2022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(+1.04% MoM increase)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Lowest Food Inflation Month: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February 2023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(-0.66% MoM decrease)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</xdr:col>
      <xdr:colOff>1266825</xdr:colOff>
      <xdr:row>1</xdr:row>
      <xdr:rowOff>123825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15</xdr:row>
      <xdr:rowOff>161925</xdr:rowOff>
    </xdr:from>
    <xdr:ext cx="4276725" cy="923925"/>
    <xdr:sp>
      <xdr:nvSpPr>
        <xdr:cNvPr id="11" name="Shape 11"/>
        <xdr:cNvSpPr txBox="1"/>
      </xdr:nvSpPr>
      <xdr:spPr>
        <a:xfrm>
          <a:off x="3212400" y="3322800"/>
          <a:ext cx="4267200" cy="914400"/>
        </a:xfrm>
        <a:prstGeom prst="rect">
          <a:avLst/>
        </a:prstGeom>
        <a:solidFill>
          <a:srgbClr val="FBE4D4"/>
        </a:solidFill>
        <a:ln cap="flat" cmpd="sng" w="127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"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Spices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 category saw the largest absolute increase in its index value (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+33.1 points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), indicating it was the strongest individual driver of price pressure within the food basket over this period.</a:t>
          </a:r>
          <a:endParaRPr sz="1400"/>
        </a:p>
      </xdr:txBody>
    </xdr:sp>
    <xdr:clientData fLocksWithSheet="0"/>
  </xdr:oneCellAnchor>
  <xdr:oneCellAnchor>
    <xdr:from>
      <xdr:col>5</xdr:col>
      <xdr:colOff>676275</xdr:colOff>
      <xdr:row>13</xdr:row>
      <xdr:rowOff>47625</xdr:rowOff>
    </xdr:from>
    <xdr:ext cx="190500" cy="266700"/>
    <xdr:sp>
      <xdr:nvSpPr>
        <xdr:cNvPr id="7" name="Shape 7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8</xdr:row>
      <xdr:rowOff>171450</xdr:rowOff>
    </xdr:from>
    <xdr:ext cx="3962400" cy="933450"/>
    <xdr:sp>
      <xdr:nvSpPr>
        <xdr:cNvPr id="12" name="Shape 12"/>
        <xdr:cNvSpPr txBox="1"/>
      </xdr:nvSpPr>
      <xdr:spPr>
        <a:xfrm>
          <a:off x="3369563" y="3322800"/>
          <a:ext cx="3952875" cy="914400"/>
        </a:xfrm>
        <a:prstGeom prst="rect">
          <a:avLst/>
        </a:prstGeom>
        <a:solidFill>
          <a:srgbClr val="FBE4D4"/>
        </a:solidFill>
        <a:ln cap="flat" cmpd="sng" w="127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 analyze the impact of the COVID-19 onset by comparing CPI inflation rates in the 3-month quarters immediately before and after March 2020, with a focus on General, Healthcare, Transport, and Food indices.</a:t>
          </a:r>
          <a:endParaRPr sz="1400"/>
        </a:p>
      </xdr:txBody>
    </xdr:sp>
    <xdr:clientData fLocksWithSheet="0"/>
  </xdr:oneCellAnchor>
  <xdr:oneCellAnchor>
    <xdr:from>
      <xdr:col>4</xdr:col>
      <xdr:colOff>990600</xdr:colOff>
      <xdr:row>9</xdr:row>
      <xdr:rowOff>0</xdr:rowOff>
    </xdr:from>
    <xdr:ext cx="4514850" cy="2533650"/>
    <xdr:sp>
      <xdr:nvSpPr>
        <xdr:cNvPr id="13" name="Shape 13"/>
        <xdr:cNvSpPr txBox="1"/>
      </xdr:nvSpPr>
      <xdr:spPr>
        <a:xfrm>
          <a:off x="3093338" y="2513175"/>
          <a:ext cx="4505325" cy="2533650"/>
        </a:xfrm>
        <a:prstGeom prst="rect">
          <a:avLst/>
        </a:prstGeom>
        <a:solidFill>
          <a:srgbClr val="FBE4D4"/>
        </a:solidFill>
        <a:ln cap="flat" cmpd="sng" w="127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Here is the concise summary of the COVID-19 impact on each category: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Food (2.60% Impact):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Highest Impact.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Supply chain disruptions and labor shortages caused a sharp spike in prices.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General Index (1.15% Impact):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Moderate Impact.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Reflected the overall market trend, driven largely by food and fuel.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Transport (1.11% Impact):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Moderate Impact.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Prices rose due to fuel tax hikes and supply constraints during the lockdown.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 (0.03% Impact):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Negligible Impact.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Medical costs in the CPI remained stable, likely due to suspended non-emergency services.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8</xdr:col>
      <xdr:colOff>542925</xdr:colOff>
      <xdr:row>13</xdr:row>
      <xdr:rowOff>123825</xdr:rowOff>
    </xdr:from>
    <xdr:ext cx="190500" cy="266700"/>
    <xdr:sp>
      <xdr:nvSpPr>
        <xdr:cNvPr id="14" name="Shape 1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9</xdr:row>
      <xdr:rowOff>0</xdr:rowOff>
    </xdr:from>
    <xdr:ext cx="2400300" cy="676275"/>
    <xdr:sp>
      <xdr:nvSpPr>
        <xdr:cNvPr id="15" name="Shape 15"/>
        <xdr:cNvSpPr txBox="1"/>
      </xdr:nvSpPr>
      <xdr:spPr>
        <a:xfrm>
          <a:off x="4150613" y="3451388"/>
          <a:ext cx="2390775" cy="657225"/>
        </a:xfrm>
        <a:prstGeom prst="rect">
          <a:avLst/>
        </a:prstGeom>
        <a:solidFill>
          <a:srgbClr val="FBE4D4"/>
        </a:solidFill>
        <a:ln cap="flat" cmpd="sng" w="127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Transport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Fuel Impacted most by inflation in Oil prices.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28575</xdr:rowOff>
    </xdr:from>
    <xdr:ext cx="13896975" cy="4762500"/>
    <xdr:sp>
      <xdr:nvSpPr>
        <xdr:cNvPr id="16" name="Shape 16"/>
        <xdr:cNvSpPr txBox="1"/>
      </xdr:nvSpPr>
      <xdr:spPr>
        <a:xfrm>
          <a:off x="0" y="1470188"/>
          <a:ext cx="10692000" cy="4619625"/>
        </a:xfrm>
        <a:prstGeom prst="rect">
          <a:avLst/>
        </a:prstGeom>
        <a:solidFill>
          <a:srgbClr val="FBE4D4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analysis focused on the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Rural+Urban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sector of combined data of Rural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Urban.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Problem 1: CPI Basket Composition (May 2023)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Takeaway: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Consumer Price Index (CPI) is heavily dominated by the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Food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category, which contributes approximately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51.7%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to the total index. Other significant contributors include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Clothing (8.9%)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Stimulants (4.9%)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while sectors like Housing, Energy, and Health each contribute between 4-5%.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Problem 2: Inflation Trends (2017–2023)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Takeaway: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year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2019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marked the highest inflation period in the analyzed timeframe, reaching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7.74%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This surge was primarily driven by a massive spike in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Vegetables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which saw a growth of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65.3%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between January and December 2019. In contrast, 2023 started with a much lower inflation trend (1.47% as of the analyzed data).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Problem 3: Food Inflation Drivers (May '22 vs. May '23)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Takeaway: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Analyzing the "Food Bucket" specifically,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Spices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Cereals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were the biggest drivers of cost increases over the one-year period.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Highest Food Inflation Month: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June 2022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(+1.04% MoM increase)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Lowest Food Inflation Month: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February 2023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(-0.66% MoM decrease)</a:t>
          </a:r>
          <a:endParaRPr sz="11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Spices: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Increased by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33.1 points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(Absolute Change).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Cereals &amp; Products: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Increased by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19.6 points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Milk &amp; Products: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Increased by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14.6 points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Problem 4: COVID-19 Impact Assessment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Takeaway: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pandemic caused a distinct reversal in inflation trends.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Pre-COVID (Dec '19 – Feb '20):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Sectors like Food (-1.46%) and General Index (-0.43%) were experiencing deflationary month-on-month trends.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Post-COVID (Apr '20 – Jun '20):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These trends flipped to positive inflation.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Food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saw the most drastic impact, swinging by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~2.6%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(from negative to positive growth), while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Transport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inflation also surged by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~1.1%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Health inflation remained positive but stable.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Problem 5: Oil Price Correlation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Takeaway: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Changes in oil prices have varying impacts across different sectors: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High Impact: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Fuel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(Correlation: 0.56) and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Transport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(Correlation: 0.49) are moderately to significantly impacted by oil price fluctuations.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Low Impact: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Food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(Correlation: 0.06) shows a negligible direct correlation with oil price changes, suggesting other factors (like seasonality or supply chain issues) drive food inflation more than fuel costs.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542925</xdr:colOff>
      <xdr:row>14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8.71"/>
    <col customWidth="1" min="3" max="3" width="8.86"/>
    <col customWidth="1" min="4" max="3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25" customHeight="1">
      <c r="A2" s="1" t="s">
        <v>30</v>
      </c>
      <c r="B2" s="1">
        <v>2013.0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104.0</v>
      </c>
      <c r="Y2" s="1">
        <v>103.3</v>
      </c>
      <c r="Z2" s="1">
        <v>103.4</v>
      </c>
      <c r="AA2" s="1">
        <v>103.8</v>
      </c>
      <c r="AB2" s="1">
        <v>104.7</v>
      </c>
      <c r="AC2" s="1">
        <v>104.0</v>
      </c>
      <c r="AD2" s="1">
        <v>105.1</v>
      </c>
    </row>
    <row r="3" ht="14.25" customHeight="1">
      <c r="A3" s="1" t="s">
        <v>33</v>
      </c>
      <c r="B3" s="1">
        <v>2013.0</v>
      </c>
      <c r="C3" s="1" t="s">
        <v>31</v>
      </c>
      <c r="D3" s="1">
        <v>110.5</v>
      </c>
      <c r="E3" s="1">
        <v>109.1</v>
      </c>
      <c r="F3" s="1">
        <v>113.0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105.0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104.0</v>
      </c>
    </row>
    <row r="4" ht="14.25" customHeight="1">
      <c r="A4" s="1" t="s">
        <v>34</v>
      </c>
      <c r="B4" s="1">
        <v>2013.0</v>
      </c>
      <c r="C4" s="1" t="s">
        <v>31</v>
      </c>
      <c r="D4" s="1">
        <v>108.4</v>
      </c>
      <c r="E4" s="1">
        <v>107.3</v>
      </c>
      <c r="F4" s="1">
        <v>110.0</v>
      </c>
      <c r="G4" s="1">
        <v>104.4</v>
      </c>
      <c r="H4" s="1">
        <v>105.1</v>
      </c>
      <c r="I4" s="1">
        <v>103.2</v>
      </c>
      <c r="J4" s="1">
        <v>102.2</v>
      </c>
      <c r="K4" s="1">
        <v>106.0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104.0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ht="14.25" customHeight="1">
      <c r="A5" s="1" t="s">
        <v>30</v>
      </c>
      <c r="B5" s="1">
        <v>2013.0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104.0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107.0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104.0</v>
      </c>
      <c r="AA5" s="1">
        <v>104.1</v>
      </c>
      <c r="AB5" s="1">
        <v>104.6</v>
      </c>
      <c r="AC5" s="1">
        <v>104.4</v>
      </c>
      <c r="AD5" s="1">
        <v>105.8</v>
      </c>
    </row>
    <row r="6" ht="14.25" customHeight="1">
      <c r="A6" s="1" t="s">
        <v>33</v>
      </c>
      <c r="B6" s="1">
        <v>2013.0</v>
      </c>
      <c r="C6" s="1" t="s">
        <v>35</v>
      </c>
      <c r="D6" s="1">
        <v>112.9</v>
      </c>
      <c r="E6" s="1">
        <v>112.9</v>
      </c>
      <c r="F6" s="1">
        <v>116.9</v>
      </c>
      <c r="G6" s="1">
        <v>104.0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106.0</v>
      </c>
      <c r="O6" s="1">
        <v>109.0</v>
      </c>
      <c r="P6" s="1">
        <v>107.2</v>
      </c>
      <c r="Q6" s="1">
        <v>106.0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ht="14.25" customHeight="1">
      <c r="A7" s="1" t="s">
        <v>34</v>
      </c>
      <c r="B7" s="1">
        <v>2013.0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106.0</v>
      </c>
      <c r="T7" s="1">
        <v>106.8</v>
      </c>
      <c r="U7" s="1">
        <v>100.4</v>
      </c>
      <c r="V7" s="1">
        <v>106.0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ht="14.25" customHeight="1">
      <c r="A8" s="1" t="s">
        <v>30</v>
      </c>
      <c r="B8" s="1">
        <v>2013.0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105.0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104.0</v>
      </c>
      <c r="AA8" s="1">
        <v>104.3</v>
      </c>
      <c r="AB8" s="1">
        <v>104.3</v>
      </c>
      <c r="AC8" s="1">
        <v>104.6</v>
      </c>
      <c r="AD8" s="1">
        <v>106.0</v>
      </c>
    </row>
    <row r="9" ht="14.25" customHeight="1">
      <c r="A9" s="1" t="s">
        <v>33</v>
      </c>
      <c r="B9" s="1">
        <v>2013.0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107.0</v>
      </c>
      <c r="O9" s="1">
        <v>109.8</v>
      </c>
      <c r="P9" s="1">
        <v>107.3</v>
      </c>
      <c r="Q9" s="1">
        <v>106.8</v>
      </c>
      <c r="R9" s="1">
        <v>107.2</v>
      </c>
      <c r="S9" s="1">
        <v>106.0</v>
      </c>
      <c r="T9" s="1">
        <v>107.0</v>
      </c>
      <c r="U9" s="1">
        <v>100.4</v>
      </c>
      <c r="V9" s="1">
        <v>106.0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105.0</v>
      </c>
    </row>
    <row r="10" ht="14.25" customHeight="1">
      <c r="A10" s="1" t="s">
        <v>34</v>
      </c>
      <c r="B10" s="1">
        <v>2013.0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105.0</v>
      </c>
      <c r="L10" s="1">
        <v>104.2</v>
      </c>
      <c r="M10" s="1">
        <v>103.0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104.0</v>
      </c>
      <c r="AB10" s="1">
        <v>104.3</v>
      </c>
      <c r="AC10" s="1">
        <v>104.7</v>
      </c>
      <c r="AD10" s="1">
        <v>105.5</v>
      </c>
    </row>
    <row r="11" ht="14.25" customHeight="1">
      <c r="A11" s="1" t="s">
        <v>30</v>
      </c>
      <c r="B11" s="1">
        <v>2013.0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108.0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ht="14.25" customHeight="1">
      <c r="A12" s="1" t="s">
        <v>33</v>
      </c>
      <c r="B12" s="1">
        <v>2013.0</v>
      </c>
      <c r="C12" s="1" t="s">
        <v>37</v>
      </c>
      <c r="D12" s="1">
        <v>114.6</v>
      </c>
      <c r="E12" s="1">
        <v>113.4</v>
      </c>
      <c r="F12" s="1">
        <v>106.0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102.0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105.0</v>
      </c>
      <c r="Z12" s="1">
        <v>104.0</v>
      </c>
      <c r="AA12" s="1">
        <v>105.2</v>
      </c>
      <c r="AB12" s="1">
        <v>103.2</v>
      </c>
      <c r="AC12" s="1">
        <v>105.1</v>
      </c>
      <c r="AD12" s="1">
        <v>105.7</v>
      </c>
    </row>
    <row r="13" ht="14.25" customHeight="1">
      <c r="A13" s="1" t="s">
        <v>34</v>
      </c>
      <c r="B13" s="1">
        <v>2013.0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108.0</v>
      </c>
      <c r="S13" s="1">
        <v>107.0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105.0</v>
      </c>
      <c r="AB13" s="1">
        <v>102.9</v>
      </c>
      <c r="AC13" s="1">
        <v>104.8</v>
      </c>
      <c r="AD13" s="1">
        <v>106.1</v>
      </c>
    </row>
    <row r="14" ht="14.25" customHeight="1">
      <c r="A14" s="1" t="s">
        <v>30</v>
      </c>
      <c r="B14" s="1">
        <v>2013.0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104.0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105.0</v>
      </c>
      <c r="AA14" s="1">
        <v>105.5</v>
      </c>
      <c r="AB14" s="1">
        <v>102.1</v>
      </c>
      <c r="AC14" s="1">
        <v>104.8</v>
      </c>
      <c r="AD14" s="1">
        <v>107.2</v>
      </c>
    </row>
    <row r="15" ht="14.25" customHeight="1">
      <c r="A15" s="1" t="s">
        <v>33</v>
      </c>
      <c r="B15" s="1">
        <v>2013.0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105.0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ht="14.25" customHeight="1">
      <c r="A16" s="1" t="s">
        <v>34</v>
      </c>
      <c r="B16" s="1">
        <v>2013.0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104.0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ht="14.25" customHeight="1">
      <c r="A17" s="1" t="s">
        <v>30</v>
      </c>
      <c r="B17" s="1">
        <v>2013.0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118.0</v>
      </c>
      <c r="K17" s="1">
        <v>106.8</v>
      </c>
      <c r="L17" s="1">
        <v>104.1</v>
      </c>
      <c r="M17" s="1">
        <v>105.4</v>
      </c>
      <c r="N17" s="1">
        <v>108.2</v>
      </c>
      <c r="O17" s="1">
        <v>111.0</v>
      </c>
      <c r="P17" s="1">
        <v>110.6</v>
      </c>
      <c r="Q17" s="1">
        <v>109.0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105.0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ht="14.25" customHeight="1">
      <c r="A18" s="1" t="s">
        <v>33</v>
      </c>
      <c r="B18" s="1">
        <v>2013.0</v>
      </c>
      <c r="C18" s="1" t="s">
        <v>39</v>
      </c>
      <c r="D18" s="1">
        <v>117.0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110.0</v>
      </c>
      <c r="O18" s="1">
        <v>112.2</v>
      </c>
      <c r="P18" s="1">
        <v>115.0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108.0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ht="14.25" customHeight="1">
      <c r="A19" s="1" t="s">
        <v>34</v>
      </c>
      <c r="B19" s="1">
        <v>2013.0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109.0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ht="14.25" customHeight="1">
      <c r="A20" s="1" t="s">
        <v>30</v>
      </c>
      <c r="B20" s="1">
        <v>2013.0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129.2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ht="14.25" customHeight="1">
      <c r="A21" s="1" t="s">
        <v>33</v>
      </c>
      <c r="B21" s="1">
        <v>2013.0</v>
      </c>
      <c r="C21" s="1" t="s">
        <v>40</v>
      </c>
      <c r="D21" s="1">
        <v>117.8</v>
      </c>
      <c r="E21" s="1">
        <v>119.2</v>
      </c>
      <c r="F21" s="1">
        <v>114.0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ht="14.25" customHeight="1">
      <c r="A22" s="1" t="s">
        <v>34</v>
      </c>
      <c r="B22" s="1">
        <v>2013.0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140.0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110.0</v>
      </c>
      <c r="U22" s="1">
        <v>107.7</v>
      </c>
      <c r="V22" s="1">
        <v>109.2</v>
      </c>
      <c r="W22" s="1">
        <v>108.2</v>
      </c>
      <c r="X22" s="1">
        <v>107.0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111.0</v>
      </c>
    </row>
    <row r="23" ht="14.25" customHeight="1">
      <c r="A23" s="1" t="s">
        <v>30</v>
      </c>
      <c r="B23" s="1">
        <v>2013.0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110.0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105.0</v>
      </c>
      <c r="AC23" s="1">
        <v>107.5</v>
      </c>
      <c r="AD23" s="1">
        <v>112.1</v>
      </c>
    </row>
    <row r="24" ht="14.25" customHeight="1">
      <c r="A24" s="1" t="s">
        <v>33</v>
      </c>
      <c r="B24" s="1">
        <v>2013.0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177.0</v>
      </c>
      <c r="K24" s="1">
        <v>104.7</v>
      </c>
      <c r="L24" s="1">
        <v>101.0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106.0</v>
      </c>
      <c r="AC24" s="1">
        <v>108.3</v>
      </c>
      <c r="AD24" s="1">
        <v>112.7</v>
      </c>
    </row>
    <row r="25" ht="14.25" customHeight="1">
      <c r="A25" s="1" t="s">
        <v>34</v>
      </c>
      <c r="B25" s="1">
        <v>2013.0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111.0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108.0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ht="14.25" customHeight="1">
      <c r="A26" s="1" t="s">
        <v>30</v>
      </c>
      <c r="B26" s="1">
        <v>2013.0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111.0</v>
      </c>
      <c r="H26" s="1">
        <v>107.4</v>
      </c>
      <c r="I26" s="1">
        <v>110.9</v>
      </c>
      <c r="J26" s="1">
        <v>154.0</v>
      </c>
      <c r="K26" s="1">
        <v>108.1</v>
      </c>
      <c r="L26" s="1">
        <v>104.2</v>
      </c>
      <c r="M26" s="1">
        <v>107.9</v>
      </c>
      <c r="N26" s="1">
        <v>110.4</v>
      </c>
      <c r="O26" s="1">
        <v>114.0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ht="14.25" customHeight="1">
      <c r="A27" s="1" t="s">
        <v>33</v>
      </c>
      <c r="B27" s="1">
        <v>2013.0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109.0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ht="14.25" customHeight="1">
      <c r="A28" s="1" t="s">
        <v>34</v>
      </c>
      <c r="B28" s="1">
        <v>2013.0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112.0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109.0</v>
      </c>
      <c r="AD28" s="1">
        <v>113.7</v>
      </c>
    </row>
    <row r="29" ht="14.25" customHeight="1">
      <c r="A29" s="1" t="s">
        <v>30</v>
      </c>
      <c r="B29" s="1">
        <v>2013.0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ht="14.25" customHeight="1">
      <c r="A30" s="1" t="s">
        <v>33</v>
      </c>
      <c r="B30" s="1">
        <v>2013.0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116.0</v>
      </c>
      <c r="P30" s="1">
        <v>120.8</v>
      </c>
      <c r="Q30" s="1">
        <v>113.5</v>
      </c>
      <c r="R30" s="1">
        <v>112.5</v>
      </c>
      <c r="S30" s="1">
        <v>109.7</v>
      </c>
      <c r="T30" s="1">
        <v>112.0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108.0</v>
      </c>
      <c r="AA30" s="1">
        <v>111.3</v>
      </c>
      <c r="AB30" s="1">
        <v>107.3</v>
      </c>
      <c r="AC30" s="1">
        <v>109.4</v>
      </c>
      <c r="AD30" s="1">
        <v>114.0</v>
      </c>
    </row>
    <row r="31" ht="14.25" customHeight="1">
      <c r="A31" s="1" t="s">
        <v>34</v>
      </c>
      <c r="B31" s="1">
        <v>2013.0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ht="14.25" customHeight="1">
      <c r="A32" s="1" t="s">
        <v>30</v>
      </c>
      <c r="B32" s="1">
        <v>2013.0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109.0</v>
      </c>
      <c r="N32" s="1">
        <v>111.8</v>
      </c>
      <c r="O32" s="1">
        <v>116.0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111.0</v>
      </c>
      <c r="AB32" s="1">
        <v>108.2</v>
      </c>
      <c r="AC32" s="1">
        <v>109.8</v>
      </c>
      <c r="AD32" s="1">
        <v>117.4</v>
      </c>
    </row>
    <row r="33" ht="14.25" customHeight="1">
      <c r="A33" s="1" t="s">
        <v>33</v>
      </c>
      <c r="B33" s="1">
        <v>2013.0</v>
      </c>
      <c r="C33" s="1" t="s">
        <v>45</v>
      </c>
      <c r="D33" s="1">
        <v>119.8</v>
      </c>
      <c r="E33" s="1">
        <v>116.3</v>
      </c>
      <c r="F33" s="1">
        <v>122.6</v>
      </c>
      <c r="G33" s="1">
        <v>112.0</v>
      </c>
      <c r="H33" s="1">
        <v>103.2</v>
      </c>
      <c r="I33" s="1">
        <v>110.0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113.0</v>
      </c>
      <c r="U33" s="1">
        <v>111.1</v>
      </c>
      <c r="V33" s="1">
        <v>110.0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115.0</v>
      </c>
    </row>
    <row r="34" ht="14.25" customHeight="1">
      <c r="A34" s="1" t="s">
        <v>34</v>
      </c>
      <c r="B34" s="1">
        <v>2013.0</v>
      </c>
      <c r="C34" s="1" t="s">
        <v>45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ht="14.25" customHeight="1">
      <c r="A35" s="1" t="s">
        <v>30</v>
      </c>
      <c r="B35" s="1">
        <v>2013.0</v>
      </c>
      <c r="C35" s="1" t="s">
        <v>46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145.7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114.0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ht="14.25" customHeight="1">
      <c r="A36" s="1" t="s">
        <v>33</v>
      </c>
      <c r="B36" s="1">
        <v>2013.0</v>
      </c>
      <c r="C36" s="1" t="s">
        <v>46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115.0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109.0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ht="14.25" customHeight="1">
      <c r="A37" s="1" t="s">
        <v>34</v>
      </c>
      <c r="B37" s="1">
        <v>2013.0</v>
      </c>
      <c r="C37" s="1" t="s">
        <v>46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114.0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109.0</v>
      </c>
      <c r="AA37" s="1">
        <v>111.5</v>
      </c>
      <c r="AB37" s="1">
        <v>107.9</v>
      </c>
      <c r="AC37" s="1">
        <v>110.0</v>
      </c>
      <c r="AD37" s="1">
        <v>114.5</v>
      </c>
    </row>
    <row r="38" ht="14.25" customHeight="1">
      <c r="A38" s="1" t="s">
        <v>30</v>
      </c>
      <c r="B38" s="1">
        <v>2014.0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109.0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116.0</v>
      </c>
      <c r="Q38" s="1">
        <v>114.0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113.0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ht="14.25" customHeight="1">
      <c r="A39" s="1" t="s">
        <v>33</v>
      </c>
      <c r="B39" s="1">
        <v>2014.0</v>
      </c>
      <c r="C39" s="1" t="s">
        <v>31</v>
      </c>
      <c r="D39" s="1">
        <v>121.2</v>
      </c>
      <c r="E39" s="1">
        <v>122.0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119.0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111.0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108.0</v>
      </c>
      <c r="AC39" s="1">
        <v>110.5</v>
      </c>
      <c r="AD39" s="1">
        <v>112.9</v>
      </c>
    </row>
    <row r="40" ht="14.25" customHeight="1">
      <c r="A40" s="1" t="s">
        <v>34</v>
      </c>
      <c r="B40" s="1">
        <v>2014.0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111.0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ht="14.25" customHeight="1">
      <c r="A41" s="1" t="s">
        <v>30</v>
      </c>
      <c r="B41" s="1">
        <v>2014.0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115.0</v>
      </c>
      <c r="H41" s="1">
        <v>109.0</v>
      </c>
      <c r="I41" s="1">
        <v>116.6</v>
      </c>
      <c r="J41" s="1">
        <v>116.0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112.0</v>
      </c>
      <c r="AB41" s="1">
        <v>108.7</v>
      </c>
      <c r="AC41" s="1">
        <v>110.9</v>
      </c>
      <c r="AD41" s="1">
        <v>114.0</v>
      </c>
    </row>
    <row r="42" ht="14.25" customHeight="1">
      <c r="A42" s="1" t="s">
        <v>33</v>
      </c>
      <c r="B42" s="1">
        <v>2014.0</v>
      </c>
      <c r="C42" s="1" t="s">
        <v>35</v>
      </c>
      <c r="D42" s="1">
        <v>121.9</v>
      </c>
      <c r="E42" s="1">
        <v>122.0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111.0</v>
      </c>
      <c r="AD42" s="1">
        <v>113.1</v>
      </c>
    </row>
    <row r="43" ht="14.25" customHeight="1">
      <c r="A43" s="1" t="s">
        <v>34</v>
      </c>
      <c r="B43" s="1">
        <v>2014.0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ht="14.25" customHeight="1">
      <c r="A44" s="1" t="s">
        <v>30</v>
      </c>
      <c r="B44" s="1">
        <v>2014.0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113.0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ht="14.25" customHeight="1">
      <c r="A45" s="1" t="s">
        <v>33</v>
      </c>
      <c r="B45" s="1">
        <v>2014.0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116.0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113.0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ht="14.25" customHeight="1">
      <c r="A46" s="1" t="s">
        <v>34</v>
      </c>
      <c r="B46" s="1">
        <v>2014.0</v>
      </c>
      <c r="C46" s="1" t="s">
        <v>47</v>
      </c>
      <c r="D46" s="1">
        <v>120.7</v>
      </c>
      <c r="E46" s="1">
        <v>119.3</v>
      </c>
      <c r="F46" s="1">
        <v>121.0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112.0</v>
      </c>
      <c r="AB46" s="1">
        <v>109.0</v>
      </c>
      <c r="AC46" s="1">
        <v>111.3</v>
      </c>
      <c r="AD46" s="1">
        <v>114.2</v>
      </c>
    </row>
    <row r="47" ht="14.25" customHeight="1">
      <c r="A47" s="1" t="s">
        <v>30</v>
      </c>
      <c r="B47" s="1">
        <v>2014.0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117.0</v>
      </c>
      <c r="H47" s="1">
        <v>109.7</v>
      </c>
      <c r="I47" s="1">
        <v>125.5</v>
      </c>
      <c r="J47" s="1">
        <v>120.5</v>
      </c>
      <c r="K47" s="1">
        <v>111.0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113.0</v>
      </c>
      <c r="AB47" s="1">
        <v>108.9</v>
      </c>
      <c r="AC47" s="1">
        <v>111.5</v>
      </c>
      <c r="AD47" s="1">
        <v>115.4</v>
      </c>
    </row>
    <row r="48" ht="14.25" customHeight="1">
      <c r="A48" s="1" t="s">
        <v>33</v>
      </c>
      <c r="B48" s="1">
        <v>2014.0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117.0</v>
      </c>
      <c r="H48" s="1">
        <v>103.1</v>
      </c>
      <c r="I48" s="1">
        <v>126.7</v>
      </c>
      <c r="J48" s="1">
        <v>121.2</v>
      </c>
      <c r="K48" s="1">
        <v>111.0</v>
      </c>
      <c r="L48" s="1">
        <v>100.3</v>
      </c>
      <c r="M48" s="1">
        <v>115.3</v>
      </c>
      <c r="N48" s="1">
        <v>112.7</v>
      </c>
      <c r="O48" s="1">
        <v>121.0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111.0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ht="14.25" customHeight="1">
      <c r="A49" s="1" t="s">
        <v>34</v>
      </c>
      <c r="B49" s="1">
        <v>2014.0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117.0</v>
      </c>
      <c r="H49" s="1">
        <v>107.3</v>
      </c>
      <c r="I49" s="1">
        <v>126.1</v>
      </c>
      <c r="J49" s="1">
        <v>120.7</v>
      </c>
      <c r="K49" s="1">
        <v>111.0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116.0</v>
      </c>
      <c r="R49" s="1">
        <v>117.4</v>
      </c>
      <c r="S49" s="1">
        <v>114.6</v>
      </c>
      <c r="T49" s="1">
        <v>117.0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109.0</v>
      </c>
      <c r="AC49" s="1">
        <v>111.5</v>
      </c>
      <c r="AD49" s="1">
        <v>115.1</v>
      </c>
    </row>
    <row r="50" ht="14.25" customHeight="1">
      <c r="A50" s="1" t="s">
        <v>30</v>
      </c>
      <c r="B50" s="1">
        <v>2014.0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118.0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116.0</v>
      </c>
    </row>
    <row r="51" ht="14.25" customHeight="1">
      <c r="A51" s="1" t="s">
        <v>33</v>
      </c>
      <c r="B51" s="1">
        <v>2014.0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129.2</v>
      </c>
      <c r="J51" s="1">
        <v>127.0</v>
      </c>
      <c r="K51" s="1">
        <v>112.6</v>
      </c>
      <c r="L51" s="1">
        <v>101.3</v>
      </c>
      <c r="M51" s="1">
        <v>117.0</v>
      </c>
      <c r="N51" s="1">
        <v>112.9</v>
      </c>
      <c r="O51" s="1">
        <v>121.7</v>
      </c>
      <c r="P51" s="1">
        <v>120.0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ht="14.25" customHeight="1">
      <c r="A52" s="1" t="s">
        <v>34</v>
      </c>
      <c r="B52" s="1">
        <v>2014.0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125.0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118.0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113.0</v>
      </c>
      <c r="AB52" s="1">
        <v>109.1</v>
      </c>
      <c r="AC52" s="1">
        <v>111.8</v>
      </c>
      <c r="AD52" s="1">
        <v>115.8</v>
      </c>
    </row>
    <row r="53" ht="14.25" customHeight="1">
      <c r="A53" s="1" t="s">
        <v>30</v>
      </c>
      <c r="B53" s="1">
        <v>2014.0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108.0</v>
      </c>
      <c r="AC53" s="1">
        <v>112.3</v>
      </c>
      <c r="AD53" s="1">
        <v>117.0</v>
      </c>
    </row>
    <row r="54" ht="14.25" customHeight="1">
      <c r="A54" s="1" t="s">
        <v>33</v>
      </c>
      <c r="B54" s="1">
        <v>2014.0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131.2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122.0</v>
      </c>
      <c r="Q54" s="1">
        <v>119.0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ht="14.25" customHeight="1">
      <c r="A55" s="1" t="s">
        <v>34</v>
      </c>
      <c r="B55" s="1">
        <v>2014.0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ht="14.25" customHeight="1">
      <c r="A56" s="1" t="s">
        <v>30</v>
      </c>
      <c r="B56" s="1">
        <v>2014.0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118.0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ht="14.25" customHeight="1">
      <c r="A57" s="1" t="s">
        <v>33</v>
      </c>
      <c r="B57" s="1">
        <v>2014.0</v>
      </c>
      <c r="C57" s="1" t="s">
        <v>40</v>
      </c>
      <c r="D57" s="1">
        <v>123.8</v>
      </c>
      <c r="E57" s="1">
        <v>126.4</v>
      </c>
      <c r="F57" s="1">
        <v>118.0</v>
      </c>
      <c r="G57" s="1">
        <v>121.6</v>
      </c>
      <c r="H57" s="1">
        <v>103.5</v>
      </c>
      <c r="I57" s="1">
        <v>133.7</v>
      </c>
      <c r="J57" s="1">
        <v>172.4</v>
      </c>
      <c r="K57" s="1">
        <v>113.1</v>
      </c>
      <c r="L57" s="1">
        <v>102.7</v>
      </c>
      <c r="M57" s="1">
        <v>120.0</v>
      </c>
      <c r="N57" s="1">
        <v>113.8</v>
      </c>
      <c r="O57" s="1">
        <v>123.4</v>
      </c>
      <c r="P57" s="1">
        <v>127.1</v>
      </c>
      <c r="Q57" s="1">
        <v>121.0</v>
      </c>
      <c r="R57" s="1">
        <v>118.0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113.0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ht="14.25" customHeight="1">
      <c r="A58" s="1" t="s">
        <v>34</v>
      </c>
      <c r="B58" s="1">
        <v>2014.0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121.0</v>
      </c>
      <c r="H58" s="1">
        <v>107.9</v>
      </c>
      <c r="I58" s="1">
        <v>131.2</v>
      </c>
      <c r="J58" s="1">
        <v>157.7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ht="14.25" customHeight="1">
      <c r="A59" s="1" t="s">
        <v>30</v>
      </c>
      <c r="B59" s="1">
        <v>2014.0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129.7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114.0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ht="14.25" customHeight="1">
      <c r="A60" s="1" t="s">
        <v>33</v>
      </c>
      <c r="B60" s="1">
        <v>2014.0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132.7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123.0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ht="14.25" customHeight="1">
      <c r="A61" s="1" t="s">
        <v>34</v>
      </c>
      <c r="B61" s="1">
        <v>2014.0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122.0</v>
      </c>
      <c r="H61" s="1">
        <v>108.0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120.0</v>
      </c>
      <c r="S61" s="1">
        <v>116.8</v>
      </c>
      <c r="T61" s="1">
        <v>119.6</v>
      </c>
      <c r="U61" s="1">
        <v>115.5</v>
      </c>
      <c r="V61" s="1">
        <v>114.0</v>
      </c>
      <c r="W61" s="1">
        <v>115.6</v>
      </c>
      <c r="X61" s="1">
        <v>113.3</v>
      </c>
      <c r="Y61" s="1">
        <v>112.8</v>
      </c>
      <c r="Z61" s="1">
        <v>112.6</v>
      </c>
      <c r="AA61" s="1">
        <v>118.0</v>
      </c>
      <c r="AB61" s="1">
        <v>109.9</v>
      </c>
      <c r="AC61" s="1">
        <v>113.7</v>
      </c>
      <c r="AD61" s="1">
        <v>120.3</v>
      </c>
    </row>
    <row r="62" ht="14.25" customHeight="1">
      <c r="A62" s="1" t="s">
        <v>30</v>
      </c>
      <c r="B62" s="1">
        <v>2014.0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</v>
      </c>
      <c r="J62" s="1">
        <v>158.8</v>
      </c>
      <c r="K62" s="1">
        <v>115.0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ht="14.25" customHeight="1">
      <c r="A63" s="1" t="s">
        <v>33</v>
      </c>
      <c r="B63" s="1">
        <v>2014.0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120.0</v>
      </c>
      <c r="AB63" s="1">
        <v>110.0</v>
      </c>
      <c r="AC63" s="1">
        <v>113.6</v>
      </c>
      <c r="AD63" s="1">
        <v>119.2</v>
      </c>
    </row>
    <row r="64" ht="14.25" customHeight="1">
      <c r="A64" s="1" t="s">
        <v>34</v>
      </c>
      <c r="B64" s="1">
        <v>2014.0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112.0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ht="14.25" customHeight="1">
      <c r="A65" s="1" t="s">
        <v>30</v>
      </c>
      <c r="B65" s="1">
        <v>2014.0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</v>
      </c>
      <c r="K65" s="1">
        <v>115.5</v>
      </c>
      <c r="L65" s="1">
        <v>104.0</v>
      </c>
      <c r="M65" s="1">
        <v>115.3</v>
      </c>
      <c r="N65" s="1">
        <v>116.8</v>
      </c>
      <c r="O65" s="1">
        <v>123.2</v>
      </c>
      <c r="P65" s="1">
        <v>125.1</v>
      </c>
      <c r="Q65" s="1">
        <v>120.0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113.0</v>
      </c>
      <c r="AA65" s="1">
        <v>116.9</v>
      </c>
      <c r="AB65" s="1">
        <v>109.3</v>
      </c>
      <c r="AC65" s="1">
        <v>114.0</v>
      </c>
      <c r="AD65" s="1">
        <v>121.0</v>
      </c>
    </row>
    <row r="66" ht="14.25" customHeight="1">
      <c r="A66" s="1" t="s">
        <v>33</v>
      </c>
      <c r="B66" s="1">
        <v>2014.0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112.0</v>
      </c>
      <c r="W66" s="1">
        <v>115.8</v>
      </c>
      <c r="X66" s="1">
        <v>112.6</v>
      </c>
      <c r="Y66" s="1">
        <v>111.0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ht="14.25" customHeight="1">
      <c r="A67" s="1" t="s">
        <v>34</v>
      </c>
      <c r="B67" s="1">
        <v>2014.0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121.0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ht="14.25" customHeight="1">
      <c r="A68" s="1" t="s">
        <v>30</v>
      </c>
      <c r="B68" s="1">
        <v>2014.0</v>
      </c>
      <c r="C68" s="1" t="s">
        <v>45</v>
      </c>
      <c r="D68" s="1">
        <v>122.7</v>
      </c>
      <c r="E68" s="1">
        <v>122.6</v>
      </c>
      <c r="F68" s="1">
        <v>119.9</v>
      </c>
      <c r="G68" s="1">
        <v>124.0</v>
      </c>
      <c r="H68" s="1">
        <v>110.5</v>
      </c>
      <c r="I68" s="1">
        <v>128.8</v>
      </c>
      <c r="J68" s="1">
        <v>152.0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112.0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ht="14.25" customHeight="1">
      <c r="A69" s="1" t="s">
        <v>33</v>
      </c>
      <c r="B69" s="1">
        <v>2014.0</v>
      </c>
      <c r="C69" s="1" t="s">
        <v>45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153.2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113.0</v>
      </c>
      <c r="Y69" s="1">
        <v>109.7</v>
      </c>
      <c r="Z69" s="1">
        <v>114.0</v>
      </c>
      <c r="AA69" s="1">
        <v>120.3</v>
      </c>
      <c r="AB69" s="1">
        <v>109.6</v>
      </c>
      <c r="AC69" s="1">
        <v>113.4</v>
      </c>
      <c r="AD69" s="1">
        <v>119.0</v>
      </c>
    </row>
    <row r="70" ht="14.25" customHeight="1">
      <c r="A70" s="1" t="s">
        <v>34</v>
      </c>
      <c r="B70" s="1">
        <v>2014.0</v>
      </c>
      <c r="C70" s="1" t="s">
        <v>45</v>
      </c>
      <c r="D70" s="1">
        <v>123.3</v>
      </c>
      <c r="E70" s="1">
        <v>123.7</v>
      </c>
      <c r="F70" s="1">
        <v>121.0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119.0</v>
      </c>
      <c r="AB70" s="1">
        <v>109.1</v>
      </c>
      <c r="AC70" s="1">
        <v>113.8</v>
      </c>
      <c r="AD70" s="1">
        <v>120.1</v>
      </c>
    </row>
    <row r="71" ht="14.25" customHeight="1">
      <c r="A71" s="1" t="s">
        <v>30</v>
      </c>
      <c r="B71" s="1">
        <v>2014.0</v>
      </c>
      <c r="C71" s="1" t="s">
        <v>46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</v>
      </c>
      <c r="K71" s="1">
        <v>116.3</v>
      </c>
      <c r="L71" s="1">
        <v>102.0</v>
      </c>
      <c r="M71" s="1">
        <v>116.0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ht="14.25" customHeight="1">
      <c r="A72" s="1" t="s">
        <v>33</v>
      </c>
      <c r="B72" s="1">
        <v>2014.0</v>
      </c>
      <c r="C72" s="1" t="s">
        <v>46</v>
      </c>
      <c r="D72" s="1">
        <v>124.0</v>
      </c>
      <c r="E72" s="1">
        <v>124.7</v>
      </c>
      <c r="F72" s="1">
        <v>126.3</v>
      </c>
      <c r="G72" s="1">
        <v>124.9</v>
      </c>
      <c r="H72" s="1">
        <v>103.0</v>
      </c>
      <c r="I72" s="1">
        <v>122.3</v>
      </c>
      <c r="J72" s="1">
        <v>141.0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124.0</v>
      </c>
      <c r="Q72" s="1">
        <v>126.4</v>
      </c>
      <c r="R72" s="1">
        <v>120.7</v>
      </c>
      <c r="S72" s="1">
        <v>115.8</v>
      </c>
      <c r="T72" s="1">
        <v>120.0</v>
      </c>
      <c r="U72" s="1">
        <v>116.5</v>
      </c>
      <c r="V72" s="1">
        <v>113.0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ht="14.25" customHeight="1">
      <c r="A73" s="1" t="s">
        <v>34</v>
      </c>
      <c r="B73" s="1">
        <v>2014.0</v>
      </c>
      <c r="C73" s="1" t="s">
        <v>46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123.0</v>
      </c>
      <c r="R73" s="1">
        <v>122.6</v>
      </c>
      <c r="S73" s="1">
        <v>118.6</v>
      </c>
      <c r="T73" s="1">
        <v>122.0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ht="14.25" customHeight="1">
      <c r="A74" s="1" t="s">
        <v>30</v>
      </c>
      <c r="B74" s="1">
        <v>2015.0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111.0</v>
      </c>
      <c r="I74" s="1">
        <v>130.4</v>
      </c>
      <c r="J74" s="1">
        <v>132.3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124.0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111.0</v>
      </c>
      <c r="Z74" s="1">
        <v>114.0</v>
      </c>
      <c r="AA74" s="1">
        <v>118.2</v>
      </c>
      <c r="AB74" s="1">
        <v>110.2</v>
      </c>
      <c r="AC74" s="1">
        <v>114.5</v>
      </c>
      <c r="AD74" s="1">
        <v>120.3</v>
      </c>
    </row>
    <row r="75" ht="14.25" customHeight="1">
      <c r="A75" s="1" t="s">
        <v>33</v>
      </c>
      <c r="B75" s="1">
        <v>2015.0</v>
      </c>
      <c r="C75" s="1" t="s">
        <v>31</v>
      </c>
      <c r="D75" s="1">
        <v>124.0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128.0</v>
      </c>
      <c r="P75" s="1">
        <v>123.5</v>
      </c>
      <c r="Q75" s="1">
        <v>127.4</v>
      </c>
      <c r="R75" s="1">
        <v>121.0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ht="14.25" customHeight="1">
      <c r="A76" s="1" t="s">
        <v>34</v>
      </c>
      <c r="B76" s="1">
        <v>2015.0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125.0</v>
      </c>
      <c r="H76" s="1">
        <v>108.5</v>
      </c>
      <c r="I76" s="1">
        <v>126.2</v>
      </c>
      <c r="J76" s="1">
        <v>133.0</v>
      </c>
      <c r="K76" s="1">
        <v>119.1</v>
      </c>
      <c r="L76" s="1">
        <v>99.0</v>
      </c>
      <c r="M76" s="1">
        <v>120.3</v>
      </c>
      <c r="N76" s="1">
        <v>117.3</v>
      </c>
      <c r="O76" s="1">
        <v>126.7</v>
      </c>
      <c r="P76" s="1">
        <v>123.1</v>
      </c>
      <c r="Q76" s="1">
        <v>124.0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114.0</v>
      </c>
      <c r="AD76" s="1">
        <v>119.5</v>
      </c>
    </row>
    <row r="77" ht="14.25" customHeight="1">
      <c r="A77" s="1" t="s">
        <v>30</v>
      </c>
      <c r="B77" s="1">
        <v>2015.0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128.2</v>
      </c>
      <c r="K77" s="1">
        <v>118.8</v>
      </c>
      <c r="L77" s="1">
        <v>100.0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125.0</v>
      </c>
      <c r="U77" s="1" t="s">
        <v>32</v>
      </c>
      <c r="V77" s="1">
        <v>120.0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115.0</v>
      </c>
      <c r="AD77" s="1">
        <v>120.6</v>
      </c>
    </row>
    <row r="78" ht="14.25" customHeight="1">
      <c r="A78" s="1" t="s">
        <v>33</v>
      </c>
      <c r="B78" s="1">
        <v>2015.0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</v>
      </c>
      <c r="K78" s="1">
        <v>125.1</v>
      </c>
      <c r="L78" s="1">
        <v>95.0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114.0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ht="14.25" customHeight="1">
      <c r="A79" s="1" t="s">
        <v>34</v>
      </c>
      <c r="B79" s="1">
        <v>2015.0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118.0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ht="14.25" customHeight="1">
      <c r="A80" s="1" t="s">
        <v>30</v>
      </c>
      <c r="B80" s="1">
        <v>2015.0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126.0</v>
      </c>
      <c r="H80" s="1">
        <v>111.8</v>
      </c>
      <c r="I80" s="1">
        <v>130.9</v>
      </c>
      <c r="J80" s="1">
        <v>128.0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126.0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ht="14.25" customHeight="1">
      <c r="A81" s="1" t="s">
        <v>33</v>
      </c>
      <c r="B81" s="1">
        <v>2015.0</v>
      </c>
      <c r="C81" s="1" t="s">
        <v>36</v>
      </c>
      <c r="D81" s="1">
        <v>124.0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117.0</v>
      </c>
      <c r="O81" s="1">
        <v>129.2</v>
      </c>
      <c r="P81" s="1">
        <v>123.9</v>
      </c>
      <c r="Q81" s="1">
        <v>128.8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118.0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ht="14.25" customHeight="1">
      <c r="A82" s="1" t="s">
        <v>34</v>
      </c>
      <c r="B82" s="1">
        <v>2015.0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126.0</v>
      </c>
      <c r="H82" s="1">
        <v>109.2</v>
      </c>
      <c r="I82" s="1">
        <v>127.6</v>
      </c>
      <c r="J82" s="1">
        <v>129.2</v>
      </c>
      <c r="K82" s="1">
        <v>122.4</v>
      </c>
      <c r="L82" s="1">
        <v>97.0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111.0</v>
      </c>
      <c r="AC82" s="1">
        <v>114.7</v>
      </c>
      <c r="AD82" s="1">
        <v>120.2</v>
      </c>
    </row>
    <row r="83" ht="14.25" customHeight="1">
      <c r="A83" s="1" t="s">
        <v>30</v>
      </c>
      <c r="B83" s="1">
        <v>2015.0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134.2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128.7</v>
      </c>
      <c r="P83" s="1">
        <v>123.6</v>
      </c>
      <c r="Q83" s="1">
        <v>125.7</v>
      </c>
      <c r="R83" s="1">
        <v>126.4</v>
      </c>
      <c r="S83" s="1">
        <v>123.3</v>
      </c>
      <c r="T83" s="1">
        <v>126.0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116.0</v>
      </c>
      <c r="AD83" s="1">
        <v>121.5</v>
      </c>
    </row>
    <row r="84" ht="14.25" customHeight="1">
      <c r="A84" s="1" t="s">
        <v>33</v>
      </c>
      <c r="B84" s="1">
        <v>2015.0</v>
      </c>
      <c r="C84" s="1" t="s">
        <v>37</v>
      </c>
      <c r="D84" s="1">
        <v>123.8</v>
      </c>
      <c r="E84" s="1">
        <v>128.2</v>
      </c>
      <c r="F84" s="1">
        <v>110.0</v>
      </c>
      <c r="G84" s="1">
        <v>126.3</v>
      </c>
      <c r="H84" s="1">
        <v>104.5</v>
      </c>
      <c r="I84" s="1">
        <v>130.6</v>
      </c>
      <c r="J84" s="1">
        <v>130.8</v>
      </c>
      <c r="K84" s="1">
        <v>131.3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ht="14.25" customHeight="1">
      <c r="A85" s="1" t="s">
        <v>34</v>
      </c>
      <c r="B85" s="1">
        <v>2015.0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124.0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121.0</v>
      </c>
      <c r="AB85" s="1">
        <v>111.7</v>
      </c>
      <c r="AC85" s="1">
        <v>115.1</v>
      </c>
      <c r="AD85" s="1">
        <v>120.7</v>
      </c>
    </row>
    <row r="86" ht="14.25" customHeight="1">
      <c r="A86" s="1" t="s">
        <v>30</v>
      </c>
      <c r="B86" s="1">
        <v>2015.0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ht="14.25" customHeight="1">
      <c r="A87" s="1" t="s">
        <v>33</v>
      </c>
      <c r="B87" s="1">
        <v>2015.0</v>
      </c>
      <c r="C87" s="1" t="s">
        <v>38</v>
      </c>
      <c r="D87" s="1">
        <v>123.8</v>
      </c>
      <c r="E87" s="1">
        <v>129.7</v>
      </c>
      <c r="F87" s="1">
        <v>111.3</v>
      </c>
      <c r="G87" s="1">
        <v>126.6</v>
      </c>
      <c r="H87" s="1">
        <v>105.2</v>
      </c>
      <c r="I87" s="1">
        <v>130.8</v>
      </c>
      <c r="J87" s="1">
        <v>135.6</v>
      </c>
      <c r="K87" s="1">
        <v>142.6</v>
      </c>
      <c r="L87" s="1">
        <v>90.8</v>
      </c>
      <c r="M87" s="1">
        <v>128.8</v>
      </c>
      <c r="N87" s="1">
        <v>117.7</v>
      </c>
      <c r="O87" s="1">
        <v>129.9</v>
      </c>
      <c r="P87" s="1">
        <v>126.1</v>
      </c>
      <c r="Q87" s="1">
        <v>131.3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116.0</v>
      </c>
      <c r="AA87" s="1">
        <v>122.0</v>
      </c>
      <c r="AB87" s="1">
        <v>112.4</v>
      </c>
      <c r="AC87" s="1">
        <v>115.2</v>
      </c>
      <c r="AD87" s="1">
        <v>120.7</v>
      </c>
    </row>
    <row r="88" ht="14.25" customHeight="1">
      <c r="A88" s="1" t="s">
        <v>34</v>
      </c>
      <c r="B88" s="1">
        <v>2015.0</v>
      </c>
      <c r="C88" s="1" t="s">
        <v>38</v>
      </c>
      <c r="D88" s="1">
        <v>123.6</v>
      </c>
      <c r="E88" s="1">
        <v>128.0</v>
      </c>
      <c r="F88" s="1">
        <v>115.0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</v>
      </c>
      <c r="P88" s="1">
        <v>125.0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112.0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ht="14.25" customHeight="1">
      <c r="A89" s="1" t="s">
        <v>30</v>
      </c>
      <c r="B89" s="1">
        <v>2015.0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128.7</v>
      </c>
      <c r="H89" s="1">
        <v>114.1</v>
      </c>
      <c r="I89" s="1">
        <v>133.2</v>
      </c>
      <c r="J89" s="1">
        <v>135.2</v>
      </c>
      <c r="K89" s="1">
        <v>131.9</v>
      </c>
      <c r="L89" s="1">
        <v>96.3</v>
      </c>
      <c r="M89" s="1">
        <v>123.0</v>
      </c>
      <c r="N89" s="1">
        <v>121.1</v>
      </c>
      <c r="O89" s="1">
        <v>131.2</v>
      </c>
      <c r="P89" s="1">
        <v>126.6</v>
      </c>
      <c r="Q89" s="1">
        <v>128.2</v>
      </c>
      <c r="R89" s="1">
        <v>128.4</v>
      </c>
      <c r="S89" s="1">
        <v>125.1</v>
      </c>
      <c r="T89" s="1">
        <v>128.0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122.0</v>
      </c>
      <c r="AB89" s="1">
        <v>113.0</v>
      </c>
      <c r="AC89" s="1">
        <v>117.9</v>
      </c>
      <c r="AD89" s="1">
        <v>124.1</v>
      </c>
    </row>
    <row r="90" ht="14.25" customHeight="1">
      <c r="A90" s="1" t="s">
        <v>33</v>
      </c>
      <c r="B90" s="1">
        <v>2015.0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106.0</v>
      </c>
      <c r="I90" s="1">
        <v>132.3</v>
      </c>
      <c r="J90" s="1">
        <v>146.7</v>
      </c>
      <c r="K90" s="1">
        <v>148.1</v>
      </c>
      <c r="L90" s="1">
        <v>89.8</v>
      </c>
      <c r="M90" s="1">
        <v>130.5</v>
      </c>
      <c r="N90" s="1">
        <v>118.0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119.0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116.0</v>
      </c>
      <c r="AD90" s="1">
        <v>121.7</v>
      </c>
    </row>
    <row r="91" ht="14.25" customHeight="1">
      <c r="A91" s="1" t="s">
        <v>34</v>
      </c>
      <c r="B91" s="1">
        <v>2015.0</v>
      </c>
      <c r="C91" s="1" t="s">
        <v>39</v>
      </c>
      <c r="D91" s="1">
        <v>123.9</v>
      </c>
      <c r="E91" s="1">
        <v>131.8</v>
      </c>
      <c r="F91" s="1">
        <v>121.6</v>
      </c>
      <c r="G91" s="1">
        <v>128.2</v>
      </c>
      <c r="H91" s="1">
        <v>111.1</v>
      </c>
      <c r="I91" s="1">
        <v>132.8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129.2</v>
      </c>
      <c r="R91" s="1">
        <v>126.4</v>
      </c>
      <c r="S91" s="1">
        <v>122.0</v>
      </c>
      <c r="T91" s="1">
        <v>125.7</v>
      </c>
      <c r="U91" s="1">
        <v>119.0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117.0</v>
      </c>
      <c r="AD91" s="1">
        <v>123.0</v>
      </c>
    </row>
    <row r="92" ht="14.25" customHeight="1">
      <c r="A92" s="1" t="s">
        <v>30</v>
      </c>
      <c r="B92" s="1">
        <v>2015.0</v>
      </c>
      <c r="C92" s="1" t="s">
        <v>40</v>
      </c>
      <c r="D92" s="1">
        <v>124.0</v>
      </c>
      <c r="E92" s="1">
        <v>131.5</v>
      </c>
      <c r="F92" s="1">
        <v>122.0</v>
      </c>
      <c r="G92" s="1">
        <v>128.7</v>
      </c>
      <c r="H92" s="1">
        <v>113.5</v>
      </c>
      <c r="I92" s="1">
        <v>133.3</v>
      </c>
      <c r="J92" s="1">
        <v>140.8</v>
      </c>
      <c r="K92" s="1">
        <v>133.8</v>
      </c>
      <c r="L92" s="1">
        <v>94.1</v>
      </c>
      <c r="M92" s="1">
        <v>123.4</v>
      </c>
      <c r="N92" s="1">
        <v>121.0</v>
      </c>
      <c r="O92" s="1">
        <v>131.7</v>
      </c>
      <c r="P92" s="1">
        <v>127.5</v>
      </c>
      <c r="Q92" s="1">
        <v>129.4</v>
      </c>
      <c r="R92" s="1">
        <v>128.8</v>
      </c>
      <c r="S92" s="1">
        <v>125.5</v>
      </c>
      <c r="T92" s="1">
        <v>128.3</v>
      </c>
      <c r="U92" s="1" t="s">
        <v>32</v>
      </c>
      <c r="V92" s="1">
        <v>123.0</v>
      </c>
      <c r="W92" s="1">
        <v>123.0</v>
      </c>
      <c r="X92" s="1">
        <v>120.8</v>
      </c>
      <c r="Y92" s="1">
        <v>114.1</v>
      </c>
      <c r="Z92" s="1">
        <v>118.0</v>
      </c>
      <c r="AA92" s="1">
        <v>122.9</v>
      </c>
      <c r="AB92" s="1">
        <v>112.7</v>
      </c>
      <c r="AC92" s="1">
        <v>118.1</v>
      </c>
      <c r="AD92" s="1">
        <v>124.7</v>
      </c>
    </row>
    <row r="93" ht="14.25" customHeight="1">
      <c r="A93" s="1" t="s">
        <v>33</v>
      </c>
      <c r="B93" s="1">
        <v>2015.0</v>
      </c>
      <c r="C93" s="1" t="s">
        <v>40</v>
      </c>
      <c r="D93" s="1">
        <v>123.2</v>
      </c>
      <c r="E93" s="1">
        <v>134.3</v>
      </c>
      <c r="F93" s="1">
        <v>119.5</v>
      </c>
      <c r="G93" s="1">
        <v>127.7</v>
      </c>
      <c r="H93" s="1">
        <v>106.3</v>
      </c>
      <c r="I93" s="1">
        <v>132.8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116.0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ht="14.25" customHeight="1">
      <c r="A94" s="1" t="s">
        <v>34</v>
      </c>
      <c r="B94" s="1">
        <v>2015.0</v>
      </c>
      <c r="C94" s="1" t="s">
        <v>40</v>
      </c>
      <c r="D94" s="1">
        <v>123.7</v>
      </c>
      <c r="E94" s="1">
        <v>132.5</v>
      </c>
      <c r="F94" s="1">
        <v>121.0</v>
      </c>
      <c r="G94" s="1">
        <v>128.3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128.2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119.0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ht="14.25" customHeight="1">
      <c r="A95" s="1" t="s">
        <v>30</v>
      </c>
      <c r="B95" s="1">
        <v>2015.0</v>
      </c>
      <c r="C95" s="1" t="s">
        <v>41</v>
      </c>
      <c r="D95" s="1">
        <v>124.7</v>
      </c>
      <c r="E95" s="1">
        <v>131.3</v>
      </c>
      <c r="F95" s="1">
        <v>121.3</v>
      </c>
      <c r="G95" s="1">
        <v>128.8</v>
      </c>
      <c r="H95" s="1">
        <v>114.0</v>
      </c>
      <c r="I95" s="1">
        <v>134.2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</v>
      </c>
      <c r="Q95" s="1">
        <v>130.1</v>
      </c>
      <c r="R95" s="1">
        <v>129.5</v>
      </c>
      <c r="S95" s="1">
        <v>126.3</v>
      </c>
      <c r="T95" s="1">
        <v>129.0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ht="14.25" customHeight="1">
      <c r="A96" s="1" t="s">
        <v>33</v>
      </c>
      <c r="B96" s="1">
        <v>2015.0</v>
      </c>
      <c r="C96" s="1" t="s">
        <v>41</v>
      </c>
      <c r="D96" s="1">
        <v>123.1</v>
      </c>
      <c r="E96" s="1">
        <v>131.7</v>
      </c>
      <c r="F96" s="1">
        <v>118.1</v>
      </c>
      <c r="G96" s="1">
        <v>128.0</v>
      </c>
      <c r="H96" s="1">
        <v>106.8</v>
      </c>
      <c r="I96" s="1">
        <v>130.1</v>
      </c>
      <c r="J96" s="1">
        <v>165.5</v>
      </c>
      <c r="K96" s="1">
        <v>156.0</v>
      </c>
      <c r="L96" s="1">
        <v>85.3</v>
      </c>
      <c r="M96" s="1">
        <v>132.7</v>
      </c>
      <c r="N96" s="1">
        <v>118.8</v>
      </c>
      <c r="O96" s="1">
        <v>131.7</v>
      </c>
      <c r="P96" s="1">
        <v>131.1</v>
      </c>
      <c r="Q96" s="1">
        <v>134.2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120.0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112.0</v>
      </c>
      <c r="AC96" s="1">
        <v>116.2</v>
      </c>
      <c r="AD96" s="1">
        <v>123.2</v>
      </c>
    </row>
    <row r="97" ht="14.25" customHeight="1">
      <c r="A97" s="1" t="s">
        <v>34</v>
      </c>
      <c r="B97" s="1">
        <v>2015.0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</v>
      </c>
      <c r="J97" s="1">
        <v>157.6</v>
      </c>
      <c r="K97" s="1">
        <v>144.0</v>
      </c>
      <c r="L97" s="1">
        <v>90.5</v>
      </c>
      <c r="M97" s="1">
        <v>126.8</v>
      </c>
      <c r="N97" s="1">
        <v>120.4</v>
      </c>
      <c r="O97" s="1">
        <v>132.1</v>
      </c>
      <c r="P97" s="1">
        <v>130.3</v>
      </c>
      <c r="Q97" s="1">
        <v>131.2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122.0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ht="14.25" customHeight="1">
      <c r="A98" s="1" t="s">
        <v>30</v>
      </c>
      <c r="B98" s="1">
        <v>2015.0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129.2</v>
      </c>
      <c r="H98" s="1">
        <v>114.7</v>
      </c>
      <c r="I98" s="1">
        <v>132.3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132.7</v>
      </c>
      <c r="P98" s="1">
        <v>131.0</v>
      </c>
      <c r="Q98" s="1">
        <v>131.0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127.0</v>
      </c>
    </row>
    <row r="99" ht="14.25" customHeight="1">
      <c r="A99" s="1" t="s">
        <v>33</v>
      </c>
      <c r="B99" s="1">
        <v>2015.0</v>
      </c>
      <c r="C99" s="1" t="s">
        <v>42</v>
      </c>
      <c r="D99" s="1">
        <v>123.4</v>
      </c>
      <c r="E99" s="1">
        <v>129.0</v>
      </c>
      <c r="F99" s="1">
        <v>115.6</v>
      </c>
      <c r="G99" s="1">
        <v>128.3</v>
      </c>
      <c r="H99" s="1">
        <v>107.0</v>
      </c>
      <c r="I99" s="1">
        <v>124.0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</v>
      </c>
      <c r="P99" s="1">
        <v>131.5</v>
      </c>
      <c r="Q99" s="1">
        <v>134.7</v>
      </c>
      <c r="R99" s="1">
        <v>124.0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ht="14.25" customHeight="1">
      <c r="A100" s="1" t="s">
        <v>34</v>
      </c>
      <c r="B100" s="1">
        <v>2015.0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162.2</v>
      </c>
      <c r="K100" s="1">
        <v>150.0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131.2</v>
      </c>
      <c r="Q100" s="1">
        <v>132.0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ht="14.25" customHeight="1">
      <c r="A101" s="1" t="s">
        <v>30</v>
      </c>
      <c r="B101" s="1">
        <v>2015.0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133.2</v>
      </c>
      <c r="J101" s="1">
        <v>157.7</v>
      </c>
      <c r="K101" s="1">
        <v>154.2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122.0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ht="14.25" customHeight="1">
      <c r="A102" s="1" t="s">
        <v>33</v>
      </c>
      <c r="B102" s="1">
        <v>2015.0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109.0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</v>
      </c>
      <c r="N102" s="1">
        <v>119.4</v>
      </c>
      <c r="O102" s="1">
        <v>132.9</v>
      </c>
      <c r="P102" s="1">
        <v>132.6</v>
      </c>
      <c r="Q102" s="1">
        <v>135.3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ht="14.25" customHeight="1">
      <c r="A103" s="1" t="s">
        <v>34</v>
      </c>
      <c r="B103" s="1">
        <v>2015.0</v>
      </c>
      <c r="C103" s="1" t="s">
        <v>43</v>
      </c>
      <c r="D103" s="1">
        <v>125.0</v>
      </c>
      <c r="E103" s="1">
        <v>129.8</v>
      </c>
      <c r="F103" s="1">
        <v>118.9</v>
      </c>
      <c r="G103" s="1">
        <v>129.1</v>
      </c>
      <c r="H103" s="1">
        <v>113.3</v>
      </c>
      <c r="I103" s="1">
        <v>129.0</v>
      </c>
      <c r="J103" s="1">
        <v>160.4</v>
      </c>
      <c r="K103" s="1">
        <v>165.3</v>
      </c>
      <c r="L103" s="1">
        <v>92.3</v>
      </c>
      <c r="M103" s="1">
        <v>129.7</v>
      </c>
      <c r="N103" s="1">
        <v>121.1</v>
      </c>
      <c r="O103" s="1">
        <v>133.0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123.0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ht="14.25" customHeight="1">
      <c r="A104" s="1" t="s">
        <v>30</v>
      </c>
      <c r="B104" s="1">
        <v>2015.0</v>
      </c>
      <c r="C104" s="1" t="s">
        <v>45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155.2</v>
      </c>
      <c r="K104" s="1">
        <v>160.8</v>
      </c>
      <c r="L104" s="1">
        <v>94.5</v>
      </c>
      <c r="M104" s="1">
        <v>128.3</v>
      </c>
      <c r="N104" s="1">
        <v>123.1</v>
      </c>
      <c r="O104" s="1">
        <v>134.2</v>
      </c>
      <c r="P104" s="1">
        <v>132.4</v>
      </c>
      <c r="Q104" s="1">
        <v>132.2</v>
      </c>
      <c r="R104" s="1">
        <v>132.1</v>
      </c>
      <c r="S104" s="1">
        <v>128.2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114.0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</v>
      </c>
    </row>
    <row r="105" ht="14.25" customHeight="1">
      <c r="A105" s="1" t="s">
        <v>33</v>
      </c>
      <c r="B105" s="1">
        <v>2015.0</v>
      </c>
      <c r="C105" s="1" t="s">
        <v>45</v>
      </c>
      <c r="D105" s="1">
        <v>124.0</v>
      </c>
      <c r="E105" s="1">
        <v>129.8</v>
      </c>
      <c r="F105" s="1">
        <v>121.5</v>
      </c>
      <c r="G105" s="1">
        <v>128.6</v>
      </c>
      <c r="H105" s="1">
        <v>110.0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133.7</v>
      </c>
      <c r="P105" s="1">
        <v>133.3</v>
      </c>
      <c r="Q105" s="1">
        <v>137.6</v>
      </c>
      <c r="R105" s="1">
        <v>125.0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121.0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ht="14.25" customHeight="1">
      <c r="A106" s="1" t="s">
        <v>34</v>
      </c>
      <c r="B106" s="1">
        <v>2015.0</v>
      </c>
      <c r="C106" s="1" t="s">
        <v>45</v>
      </c>
      <c r="D106" s="1">
        <v>125.4</v>
      </c>
      <c r="E106" s="1">
        <v>130.3</v>
      </c>
      <c r="F106" s="1">
        <v>121.6</v>
      </c>
      <c r="G106" s="1">
        <v>129.2</v>
      </c>
      <c r="H106" s="1">
        <v>114.9</v>
      </c>
      <c r="I106" s="1">
        <v>128.2</v>
      </c>
      <c r="J106" s="1">
        <v>158.4</v>
      </c>
      <c r="K106" s="1">
        <v>171.2</v>
      </c>
      <c r="L106" s="1">
        <v>93.3</v>
      </c>
      <c r="M106" s="1">
        <v>131.2</v>
      </c>
      <c r="N106" s="1">
        <v>121.7</v>
      </c>
      <c r="O106" s="1">
        <v>134.0</v>
      </c>
      <c r="P106" s="1">
        <v>132.7</v>
      </c>
      <c r="Q106" s="1">
        <v>133.6</v>
      </c>
      <c r="R106" s="1">
        <v>129.3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ht="14.25" customHeight="1">
      <c r="A107" s="1" t="s">
        <v>30</v>
      </c>
      <c r="B107" s="1">
        <v>2015.0</v>
      </c>
      <c r="C107" s="1" t="s">
        <v>46</v>
      </c>
      <c r="D107" s="1">
        <v>126.3</v>
      </c>
      <c r="E107" s="1">
        <v>131.3</v>
      </c>
      <c r="F107" s="1">
        <v>123.3</v>
      </c>
      <c r="G107" s="1">
        <v>129.8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126.0</v>
      </c>
      <c r="X107" s="1">
        <v>123.1</v>
      </c>
      <c r="Y107" s="1">
        <v>114.0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ht="14.25" customHeight="1">
      <c r="A108" s="1" t="s">
        <v>33</v>
      </c>
      <c r="B108" s="1">
        <v>2015.0</v>
      </c>
      <c r="C108" s="1" t="s">
        <v>46</v>
      </c>
      <c r="D108" s="1">
        <v>124.3</v>
      </c>
      <c r="E108" s="1">
        <v>131.7</v>
      </c>
      <c r="F108" s="1">
        <v>127.1</v>
      </c>
      <c r="G108" s="1">
        <v>128.6</v>
      </c>
      <c r="H108" s="1">
        <v>110.0</v>
      </c>
      <c r="I108" s="1">
        <v>120.8</v>
      </c>
      <c r="J108" s="1">
        <v>149.0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134.2</v>
      </c>
      <c r="P108" s="1">
        <v>131.5</v>
      </c>
      <c r="Q108" s="1">
        <v>138.2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116.0</v>
      </c>
      <c r="W108" s="1">
        <v>121.0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124.0</v>
      </c>
    </row>
    <row r="109" ht="14.25" customHeight="1">
      <c r="A109" s="1" t="s">
        <v>34</v>
      </c>
      <c r="B109" s="1">
        <v>2015.0</v>
      </c>
      <c r="C109" s="1" t="s">
        <v>46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146.7</v>
      </c>
      <c r="K109" s="1">
        <v>171.5</v>
      </c>
      <c r="L109" s="1">
        <v>94.5</v>
      </c>
      <c r="M109" s="1">
        <v>132.1</v>
      </c>
      <c r="N109" s="1">
        <v>122.0</v>
      </c>
      <c r="O109" s="1">
        <v>134.7</v>
      </c>
      <c r="P109" s="1">
        <v>131.4</v>
      </c>
      <c r="Q109" s="1">
        <v>134.5</v>
      </c>
      <c r="R109" s="1">
        <v>129.7</v>
      </c>
      <c r="S109" s="1">
        <v>124.8</v>
      </c>
      <c r="T109" s="1">
        <v>129.0</v>
      </c>
      <c r="U109" s="1">
        <v>122.4</v>
      </c>
      <c r="V109" s="1">
        <v>122.0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ht="14.25" customHeight="1">
      <c r="A110" s="1" t="s">
        <v>30</v>
      </c>
      <c r="B110" s="1">
        <v>2016.0</v>
      </c>
      <c r="C110" s="1" t="s">
        <v>31</v>
      </c>
      <c r="D110" s="1">
        <v>126.8</v>
      </c>
      <c r="E110" s="1">
        <v>133.2</v>
      </c>
      <c r="F110" s="1">
        <v>126.5</v>
      </c>
      <c r="G110" s="1">
        <v>130.3</v>
      </c>
      <c r="H110" s="1">
        <v>118.9</v>
      </c>
      <c r="I110" s="1">
        <v>131.6</v>
      </c>
      <c r="J110" s="1">
        <v>140.1</v>
      </c>
      <c r="K110" s="1">
        <v>163.8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133.2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ht="14.25" customHeight="1">
      <c r="A111" s="1" t="s">
        <v>33</v>
      </c>
      <c r="B111" s="1">
        <v>2016.0</v>
      </c>
      <c r="C111" s="1" t="s">
        <v>31</v>
      </c>
      <c r="D111" s="1">
        <v>124.7</v>
      </c>
      <c r="E111" s="1">
        <v>135.9</v>
      </c>
      <c r="F111" s="1">
        <v>132.0</v>
      </c>
      <c r="G111" s="1">
        <v>129.2</v>
      </c>
      <c r="H111" s="1">
        <v>109.7</v>
      </c>
      <c r="I111" s="1">
        <v>119.0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134.7</v>
      </c>
      <c r="P111" s="1">
        <v>131.2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114.0</v>
      </c>
      <c r="AC111" s="1">
        <v>116.8</v>
      </c>
      <c r="AD111" s="1">
        <v>124.2</v>
      </c>
    </row>
    <row r="112" ht="14.25" customHeight="1">
      <c r="A112" s="1" t="s">
        <v>34</v>
      </c>
      <c r="B112" s="1">
        <v>2016.0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</v>
      </c>
      <c r="P112" s="1">
        <v>131.3</v>
      </c>
      <c r="Q112" s="1">
        <v>135.2</v>
      </c>
      <c r="R112" s="1">
        <v>130.3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122.0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ht="14.25" customHeight="1">
      <c r="A113" s="1" t="s">
        <v>30</v>
      </c>
      <c r="B113" s="1">
        <v>2016.0</v>
      </c>
      <c r="C113" s="1" t="s">
        <v>35</v>
      </c>
      <c r="D113" s="1">
        <v>127.1</v>
      </c>
      <c r="E113" s="1">
        <v>133.7</v>
      </c>
      <c r="F113" s="1">
        <v>127.7</v>
      </c>
      <c r="G113" s="1">
        <v>130.7</v>
      </c>
      <c r="H113" s="1">
        <v>118.5</v>
      </c>
      <c r="I113" s="1">
        <v>130.4</v>
      </c>
      <c r="J113" s="1">
        <v>130.9</v>
      </c>
      <c r="K113" s="1">
        <v>162.8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</v>
      </c>
      <c r="Q113" s="1">
        <v>134.4</v>
      </c>
      <c r="R113" s="1">
        <v>133.9</v>
      </c>
      <c r="S113" s="1">
        <v>129.8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ht="14.25" customHeight="1">
      <c r="A114" s="1" t="s">
        <v>33</v>
      </c>
      <c r="B114" s="1">
        <v>2016.0</v>
      </c>
      <c r="C114" s="1" t="s">
        <v>35</v>
      </c>
      <c r="D114" s="1">
        <v>124.8</v>
      </c>
      <c r="E114" s="1">
        <v>135.1</v>
      </c>
      <c r="F114" s="1">
        <v>130.3</v>
      </c>
      <c r="G114" s="1">
        <v>129.6</v>
      </c>
      <c r="H114" s="1">
        <v>108.4</v>
      </c>
      <c r="I114" s="1">
        <v>118.6</v>
      </c>
      <c r="J114" s="1">
        <v>129.2</v>
      </c>
      <c r="K114" s="1">
        <v>176.4</v>
      </c>
      <c r="L114" s="1">
        <v>99.1</v>
      </c>
      <c r="M114" s="1">
        <v>139.7</v>
      </c>
      <c r="N114" s="1">
        <v>120.6</v>
      </c>
      <c r="O114" s="1">
        <v>135.2</v>
      </c>
      <c r="P114" s="1">
        <v>129.1</v>
      </c>
      <c r="Q114" s="1">
        <v>140.0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116.0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ht="14.25" customHeight="1">
      <c r="A115" s="1" t="s">
        <v>34</v>
      </c>
      <c r="B115" s="1">
        <v>2016.0</v>
      </c>
      <c r="C115" s="1" t="s">
        <v>35</v>
      </c>
      <c r="D115" s="1">
        <v>126.4</v>
      </c>
      <c r="E115" s="1">
        <v>134.2</v>
      </c>
      <c r="F115" s="1">
        <v>128.7</v>
      </c>
      <c r="G115" s="1">
        <v>130.3</v>
      </c>
      <c r="H115" s="1">
        <v>114.8</v>
      </c>
      <c r="I115" s="1">
        <v>124.9</v>
      </c>
      <c r="J115" s="1">
        <v>130.3</v>
      </c>
      <c r="K115" s="1">
        <v>167.4</v>
      </c>
      <c r="L115" s="1">
        <v>98.8</v>
      </c>
      <c r="M115" s="1">
        <v>133.6</v>
      </c>
      <c r="N115" s="1">
        <v>123.0</v>
      </c>
      <c r="O115" s="1">
        <v>135.8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130.2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126.0</v>
      </c>
    </row>
    <row r="116" ht="14.25" customHeight="1">
      <c r="A116" s="1" t="s">
        <v>30</v>
      </c>
      <c r="B116" s="1">
        <v>2016.0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131.7</v>
      </c>
      <c r="J116" s="1">
        <v>130.7</v>
      </c>
      <c r="K116" s="1">
        <v>161.2</v>
      </c>
      <c r="L116" s="1">
        <v>100.4</v>
      </c>
      <c r="M116" s="1">
        <v>130.8</v>
      </c>
      <c r="N116" s="1">
        <v>124.9</v>
      </c>
      <c r="O116" s="1">
        <v>137.0</v>
      </c>
      <c r="P116" s="1">
        <v>130.4</v>
      </c>
      <c r="Q116" s="1">
        <v>135.0</v>
      </c>
      <c r="R116" s="1">
        <v>134.4</v>
      </c>
      <c r="S116" s="1">
        <v>130.2</v>
      </c>
      <c r="T116" s="1">
        <v>133.8</v>
      </c>
      <c r="U116" s="1" t="s">
        <v>32</v>
      </c>
      <c r="V116" s="1">
        <v>127.0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128.0</v>
      </c>
    </row>
    <row r="117" ht="14.25" customHeight="1">
      <c r="A117" s="1" t="s">
        <v>33</v>
      </c>
      <c r="B117" s="1">
        <v>2016.0</v>
      </c>
      <c r="C117" s="1" t="s">
        <v>36</v>
      </c>
      <c r="D117" s="1">
        <v>124.8</v>
      </c>
      <c r="E117" s="1">
        <v>136.3</v>
      </c>
      <c r="F117" s="1">
        <v>123.7</v>
      </c>
      <c r="G117" s="1">
        <v>129.7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ht="14.25" customHeight="1">
      <c r="A118" s="1" t="s">
        <v>34</v>
      </c>
      <c r="B118" s="1">
        <v>2016.0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130.2</v>
      </c>
      <c r="H118" s="1">
        <v>114.5</v>
      </c>
      <c r="I118" s="1">
        <v>126.2</v>
      </c>
      <c r="J118" s="1">
        <v>129.8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</v>
      </c>
      <c r="P118" s="1">
        <v>129.8</v>
      </c>
      <c r="Q118" s="1">
        <v>136.5</v>
      </c>
      <c r="R118" s="1">
        <v>131.3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126.0</v>
      </c>
    </row>
    <row r="119" ht="14.25" customHeight="1">
      <c r="A119" s="1" t="s">
        <v>30</v>
      </c>
      <c r="B119" s="1">
        <v>2016.0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</v>
      </c>
      <c r="H119" s="1">
        <v>118.2</v>
      </c>
      <c r="I119" s="1">
        <v>138.1</v>
      </c>
      <c r="J119" s="1">
        <v>134.1</v>
      </c>
      <c r="K119" s="1">
        <v>162.7</v>
      </c>
      <c r="L119" s="1">
        <v>105.0</v>
      </c>
      <c r="M119" s="1">
        <v>131.4</v>
      </c>
      <c r="N119" s="1">
        <v>125.4</v>
      </c>
      <c r="O119" s="1">
        <v>137.4</v>
      </c>
      <c r="P119" s="1">
        <v>131.8</v>
      </c>
      <c r="Q119" s="1">
        <v>135.5</v>
      </c>
      <c r="R119" s="1">
        <v>135.0</v>
      </c>
      <c r="S119" s="1">
        <v>130.6</v>
      </c>
      <c r="T119" s="1">
        <v>134.4</v>
      </c>
      <c r="U119" s="1" t="s">
        <v>32</v>
      </c>
      <c r="V119" s="1">
        <v>127.0</v>
      </c>
      <c r="W119" s="1">
        <v>128.0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129.0</v>
      </c>
    </row>
    <row r="120" ht="14.25" customHeight="1">
      <c r="A120" s="1" t="s">
        <v>33</v>
      </c>
      <c r="B120" s="1">
        <v>2016.0</v>
      </c>
      <c r="C120" s="1" t="s">
        <v>37</v>
      </c>
      <c r="D120" s="1">
        <v>124.9</v>
      </c>
      <c r="E120" s="1">
        <v>139.3</v>
      </c>
      <c r="F120" s="1">
        <v>119.9</v>
      </c>
      <c r="G120" s="1">
        <v>130.2</v>
      </c>
      <c r="H120" s="1">
        <v>108.9</v>
      </c>
      <c r="I120" s="1">
        <v>131.1</v>
      </c>
      <c r="J120" s="1">
        <v>136.8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120.0</v>
      </c>
      <c r="Y120" s="1">
        <v>110.0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ht="14.25" customHeight="1">
      <c r="A121" s="1" t="s">
        <v>34</v>
      </c>
      <c r="B121" s="1">
        <v>2016.0</v>
      </c>
      <c r="C121" s="1" t="s">
        <v>37</v>
      </c>
      <c r="D121" s="1">
        <v>126.6</v>
      </c>
      <c r="E121" s="1">
        <v>136.8</v>
      </c>
      <c r="F121" s="1">
        <v>122.0</v>
      </c>
      <c r="G121" s="1">
        <v>130.9</v>
      </c>
      <c r="H121" s="1">
        <v>114.8</v>
      </c>
      <c r="I121" s="1">
        <v>134.8</v>
      </c>
      <c r="J121" s="1">
        <v>135.0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136.7</v>
      </c>
      <c r="P121" s="1">
        <v>131.8</v>
      </c>
      <c r="Q121" s="1">
        <v>137.1</v>
      </c>
      <c r="R121" s="1">
        <v>131.8</v>
      </c>
      <c r="S121" s="1">
        <v>126.4</v>
      </c>
      <c r="T121" s="1">
        <v>131.0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120.0</v>
      </c>
      <c r="AD121" s="1">
        <v>127.3</v>
      </c>
    </row>
    <row r="122" ht="14.25" customHeight="1">
      <c r="A122" s="1" t="s">
        <v>30</v>
      </c>
      <c r="B122" s="1">
        <v>2016.0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</v>
      </c>
      <c r="K122" s="1">
        <v>166.0</v>
      </c>
      <c r="L122" s="1">
        <v>107.5</v>
      </c>
      <c r="M122" s="1">
        <v>132.2</v>
      </c>
      <c r="N122" s="1">
        <v>126.1</v>
      </c>
      <c r="O122" s="1">
        <v>138.3</v>
      </c>
      <c r="P122" s="1">
        <v>133.6</v>
      </c>
      <c r="Q122" s="1">
        <v>136.0</v>
      </c>
      <c r="R122" s="1">
        <v>135.4</v>
      </c>
      <c r="S122" s="1">
        <v>131.1</v>
      </c>
      <c r="T122" s="1">
        <v>134.8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</v>
      </c>
    </row>
    <row r="123" ht="14.25" customHeight="1">
      <c r="A123" s="1" t="s">
        <v>33</v>
      </c>
      <c r="B123" s="1">
        <v>2016.0</v>
      </c>
      <c r="C123" s="1" t="s">
        <v>38</v>
      </c>
      <c r="D123" s="1">
        <v>125.0</v>
      </c>
      <c r="E123" s="1">
        <v>142.1</v>
      </c>
      <c r="F123" s="1">
        <v>127.0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</v>
      </c>
      <c r="P123" s="1">
        <v>134.6</v>
      </c>
      <c r="Q123" s="1">
        <v>142.2</v>
      </c>
      <c r="R123" s="1">
        <v>127.2</v>
      </c>
      <c r="S123" s="1">
        <v>120.7</v>
      </c>
      <c r="T123" s="1">
        <v>126.2</v>
      </c>
      <c r="U123" s="1">
        <v>126.0</v>
      </c>
      <c r="V123" s="1">
        <v>115.0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128.0</v>
      </c>
      <c r="AB123" s="1">
        <v>118.5</v>
      </c>
      <c r="AC123" s="1">
        <v>118.7</v>
      </c>
      <c r="AD123" s="1">
        <v>126.6</v>
      </c>
    </row>
    <row r="124" ht="14.25" customHeight="1">
      <c r="A124" s="1" t="s">
        <v>34</v>
      </c>
      <c r="B124" s="1">
        <v>2016.0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131.7</v>
      </c>
      <c r="H124" s="1">
        <v>115.0</v>
      </c>
      <c r="I124" s="1">
        <v>136.0</v>
      </c>
      <c r="J124" s="1">
        <v>145.1</v>
      </c>
      <c r="K124" s="1">
        <v>171.7</v>
      </c>
      <c r="L124" s="1">
        <v>108.7</v>
      </c>
      <c r="M124" s="1">
        <v>135.3</v>
      </c>
      <c r="N124" s="1">
        <v>124.2</v>
      </c>
      <c r="O124" s="1">
        <v>137.4</v>
      </c>
      <c r="P124" s="1">
        <v>134.0</v>
      </c>
      <c r="Q124" s="1">
        <v>137.7</v>
      </c>
      <c r="R124" s="1">
        <v>132.2</v>
      </c>
      <c r="S124" s="1">
        <v>126.8</v>
      </c>
      <c r="T124" s="1">
        <v>131.4</v>
      </c>
      <c r="U124" s="1">
        <v>126.0</v>
      </c>
      <c r="V124" s="1">
        <v>122.7</v>
      </c>
      <c r="W124" s="1">
        <v>126.0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ht="14.25" customHeight="1">
      <c r="A125" s="1" t="s">
        <v>30</v>
      </c>
      <c r="B125" s="1">
        <v>2016.0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139.2</v>
      </c>
      <c r="P125" s="1">
        <v>136.0</v>
      </c>
      <c r="Q125" s="1">
        <v>137.2</v>
      </c>
      <c r="R125" s="1">
        <v>136.3</v>
      </c>
      <c r="S125" s="1">
        <v>131.6</v>
      </c>
      <c r="T125" s="1">
        <v>135.6</v>
      </c>
      <c r="U125" s="1" t="s">
        <v>32</v>
      </c>
      <c r="V125" s="1">
        <v>128.0</v>
      </c>
      <c r="W125" s="1">
        <v>129.3</v>
      </c>
      <c r="X125" s="1">
        <v>126.2</v>
      </c>
      <c r="Y125" s="1">
        <v>116.3</v>
      </c>
      <c r="Z125" s="1">
        <v>124.1</v>
      </c>
      <c r="AA125" s="1">
        <v>130.2</v>
      </c>
      <c r="AB125" s="1">
        <v>119.9</v>
      </c>
      <c r="AC125" s="1">
        <v>123.3</v>
      </c>
      <c r="AD125" s="1">
        <v>131.9</v>
      </c>
    </row>
    <row r="126" ht="14.25" customHeight="1">
      <c r="A126" s="1" t="s">
        <v>33</v>
      </c>
      <c r="B126" s="1">
        <v>2016.0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131.0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112.0</v>
      </c>
      <c r="M126" s="1">
        <v>142.8</v>
      </c>
      <c r="N126" s="1">
        <v>121.6</v>
      </c>
      <c r="O126" s="1">
        <v>136.9</v>
      </c>
      <c r="P126" s="1">
        <v>138.2</v>
      </c>
      <c r="Q126" s="1">
        <v>142.7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</v>
      </c>
      <c r="AB126" s="1">
        <v>118.8</v>
      </c>
      <c r="AC126" s="1">
        <v>119.6</v>
      </c>
      <c r="AD126" s="1">
        <v>128.1</v>
      </c>
    </row>
    <row r="127" ht="14.25" customHeight="1">
      <c r="A127" s="1" t="s">
        <v>34</v>
      </c>
      <c r="B127" s="1">
        <v>2016.0</v>
      </c>
      <c r="C127" s="1" t="s">
        <v>39</v>
      </c>
      <c r="D127" s="1">
        <v>127.7</v>
      </c>
      <c r="E127" s="1">
        <v>140.5</v>
      </c>
      <c r="F127" s="1">
        <v>128.3</v>
      </c>
      <c r="G127" s="1">
        <v>132.6</v>
      </c>
      <c r="H127" s="1">
        <v>115.5</v>
      </c>
      <c r="I127" s="1">
        <v>136.5</v>
      </c>
      <c r="J127" s="1">
        <v>159.7</v>
      </c>
      <c r="K127" s="1">
        <v>174.3</v>
      </c>
      <c r="L127" s="1">
        <v>109.9</v>
      </c>
      <c r="M127" s="1">
        <v>136.3</v>
      </c>
      <c r="N127" s="1">
        <v>124.4</v>
      </c>
      <c r="O127" s="1">
        <v>138.1</v>
      </c>
      <c r="P127" s="1">
        <v>136.8</v>
      </c>
      <c r="Q127" s="1">
        <v>138.7</v>
      </c>
      <c r="R127" s="1">
        <v>132.9</v>
      </c>
      <c r="S127" s="1">
        <v>127.2</v>
      </c>
      <c r="T127" s="1">
        <v>132.0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129.7</v>
      </c>
      <c r="AB127" s="1">
        <v>119.4</v>
      </c>
      <c r="AC127" s="1">
        <v>121.5</v>
      </c>
      <c r="AD127" s="1">
        <v>130.1</v>
      </c>
    </row>
    <row r="128" ht="14.25" customHeight="1">
      <c r="A128" s="1" t="s">
        <v>30</v>
      </c>
      <c r="B128" s="1">
        <v>2016.0</v>
      </c>
      <c r="C128" s="1" t="s">
        <v>40</v>
      </c>
      <c r="D128" s="1">
        <v>129.3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158.2</v>
      </c>
      <c r="K128" s="1">
        <v>171.8</v>
      </c>
      <c r="L128" s="1">
        <v>110.3</v>
      </c>
      <c r="M128" s="1">
        <v>134.3</v>
      </c>
      <c r="N128" s="1">
        <v>127.3</v>
      </c>
      <c r="O128" s="1">
        <v>139.9</v>
      </c>
      <c r="P128" s="1">
        <v>137.6</v>
      </c>
      <c r="Q128" s="1">
        <v>138.0</v>
      </c>
      <c r="R128" s="1">
        <v>137.2</v>
      </c>
      <c r="S128" s="1">
        <v>132.2</v>
      </c>
      <c r="T128" s="1">
        <v>136.5</v>
      </c>
      <c r="U128" s="1" t="s">
        <v>32</v>
      </c>
      <c r="V128" s="1">
        <v>128.2</v>
      </c>
      <c r="W128" s="1">
        <v>130.0</v>
      </c>
      <c r="X128" s="1">
        <v>126.7</v>
      </c>
      <c r="Y128" s="1">
        <v>116.4</v>
      </c>
      <c r="Z128" s="1">
        <v>125.2</v>
      </c>
      <c r="AA128" s="1">
        <v>130.8</v>
      </c>
      <c r="AB128" s="1">
        <v>120.9</v>
      </c>
      <c r="AC128" s="1">
        <v>123.8</v>
      </c>
      <c r="AD128" s="1">
        <v>133.0</v>
      </c>
    </row>
    <row r="129" ht="14.25" customHeight="1">
      <c r="A129" s="1" t="s">
        <v>33</v>
      </c>
      <c r="B129" s="1">
        <v>2016.0</v>
      </c>
      <c r="C129" s="1" t="s">
        <v>40</v>
      </c>
      <c r="D129" s="1">
        <v>126.8</v>
      </c>
      <c r="E129" s="1">
        <v>144.2</v>
      </c>
      <c r="F129" s="1">
        <v>136.6</v>
      </c>
      <c r="G129" s="1">
        <v>131.8</v>
      </c>
      <c r="H129" s="1">
        <v>111.0</v>
      </c>
      <c r="I129" s="1">
        <v>137.0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</v>
      </c>
      <c r="AB129" s="1">
        <v>120.0</v>
      </c>
      <c r="AC129" s="1">
        <v>119.9</v>
      </c>
      <c r="AD129" s="1">
        <v>129.0</v>
      </c>
    </row>
    <row r="130" ht="14.25" customHeight="1">
      <c r="A130" s="1" t="s">
        <v>34</v>
      </c>
      <c r="B130" s="1">
        <v>2016.0</v>
      </c>
      <c r="C130" s="1" t="s">
        <v>40</v>
      </c>
      <c r="D130" s="1">
        <v>128.5</v>
      </c>
      <c r="E130" s="1">
        <v>141.2</v>
      </c>
      <c r="F130" s="1">
        <v>132.3</v>
      </c>
      <c r="G130" s="1">
        <v>133.5</v>
      </c>
      <c r="H130" s="1">
        <v>116.4</v>
      </c>
      <c r="I130" s="1">
        <v>137.8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125.0</v>
      </c>
      <c r="O130" s="1">
        <v>138.8</v>
      </c>
      <c r="P130" s="1">
        <v>138.4</v>
      </c>
      <c r="Q130" s="1">
        <v>139.3</v>
      </c>
      <c r="R130" s="1">
        <v>133.5</v>
      </c>
      <c r="S130" s="1">
        <v>127.6</v>
      </c>
      <c r="T130" s="1">
        <v>132.7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</v>
      </c>
      <c r="AB130" s="1">
        <v>120.5</v>
      </c>
      <c r="AC130" s="1">
        <v>121.9</v>
      </c>
      <c r="AD130" s="1">
        <v>131.1</v>
      </c>
    </row>
    <row r="131" ht="14.25" customHeight="1">
      <c r="A131" s="1" t="s">
        <v>30</v>
      </c>
      <c r="B131" s="1">
        <v>2016.0</v>
      </c>
      <c r="C131" s="1" t="s">
        <v>41</v>
      </c>
      <c r="D131" s="1">
        <v>130.1</v>
      </c>
      <c r="E131" s="1">
        <v>138.8</v>
      </c>
      <c r="F131" s="1">
        <v>130.3</v>
      </c>
      <c r="G131" s="1">
        <v>135.3</v>
      </c>
      <c r="H131" s="1">
        <v>119.9</v>
      </c>
      <c r="I131" s="1">
        <v>140.2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140.7</v>
      </c>
      <c r="P131" s="1">
        <v>138.0</v>
      </c>
      <c r="Q131" s="1">
        <v>138.9</v>
      </c>
      <c r="R131" s="1">
        <v>137.8</v>
      </c>
      <c r="S131" s="1">
        <v>133.0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127.0</v>
      </c>
      <c r="Y131" s="1">
        <v>116.0</v>
      </c>
      <c r="Z131" s="1">
        <v>125.5</v>
      </c>
      <c r="AA131" s="1">
        <v>131.9</v>
      </c>
      <c r="AB131" s="1">
        <v>122.0</v>
      </c>
      <c r="AC131" s="1">
        <v>124.2</v>
      </c>
      <c r="AD131" s="1">
        <v>133.5</v>
      </c>
    </row>
    <row r="132" ht="14.25" customHeight="1">
      <c r="A132" s="1" t="s">
        <v>33</v>
      </c>
      <c r="B132" s="1">
        <v>2016.0</v>
      </c>
      <c r="C132" s="1" t="s">
        <v>41</v>
      </c>
      <c r="D132" s="1">
        <v>127.6</v>
      </c>
      <c r="E132" s="1">
        <v>140.3</v>
      </c>
      <c r="F132" s="1">
        <v>133.7</v>
      </c>
      <c r="G132" s="1">
        <v>132.2</v>
      </c>
      <c r="H132" s="1">
        <v>111.8</v>
      </c>
      <c r="I132" s="1">
        <v>135.8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ht="14.25" customHeight="1">
      <c r="A133" s="1" t="s">
        <v>34</v>
      </c>
      <c r="B133" s="1">
        <v>2016.0</v>
      </c>
      <c r="C133" s="1" t="s">
        <v>41</v>
      </c>
      <c r="D133" s="1">
        <v>129.3</v>
      </c>
      <c r="E133" s="1">
        <v>139.3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140.2</v>
      </c>
      <c r="R133" s="1">
        <v>134.1</v>
      </c>
      <c r="S133" s="1">
        <v>128.2</v>
      </c>
      <c r="T133" s="1">
        <v>133.2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131.7</v>
      </c>
      <c r="AB133" s="1">
        <v>121.5</v>
      </c>
      <c r="AC133" s="1">
        <v>122.1</v>
      </c>
      <c r="AD133" s="1">
        <v>131.1</v>
      </c>
    </row>
    <row r="134" ht="14.25" customHeight="1">
      <c r="A134" s="1" t="s">
        <v>30</v>
      </c>
      <c r="B134" s="1">
        <v>2016.0</v>
      </c>
      <c r="C134" s="1" t="s">
        <v>42</v>
      </c>
      <c r="D134" s="1">
        <v>130.8</v>
      </c>
      <c r="E134" s="1">
        <v>138.2</v>
      </c>
      <c r="F134" s="1">
        <v>130.5</v>
      </c>
      <c r="G134" s="1">
        <v>135.5</v>
      </c>
      <c r="H134" s="1">
        <v>120.2</v>
      </c>
      <c r="I134" s="1">
        <v>139.2</v>
      </c>
      <c r="J134" s="1">
        <v>149.5</v>
      </c>
      <c r="K134" s="1">
        <v>170.4</v>
      </c>
      <c r="L134" s="1">
        <v>113.1</v>
      </c>
      <c r="M134" s="1">
        <v>135.8</v>
      </c>
      <c r="N134" s="1">
        <v>128.8</v>
      </c>
      <c r="O134" s="1">
        <v>141.5</v>
      </c>
      <c r="P134" s="1">
        <v>137.2</v>
      </c>
      <c r="Q134" s="1">
        <v>139.9</v>
      </c>
      <c r="R134" s="1">
        <v>138.5</v>
      </c>
      <c r="S134" s="1">
        <v>133.5</v>
      </c>
      <c r="T134" s="1">
        <v>137.8</v>
      </c>
      <c r="U134" s="1" t="s">
        <v>32</v>
      </c>
      <c r="V134" s="1">
        <v>129.7</v>
      </c>
      <c r="W134" s="1">
        <v>131.1</v>
      </c>
      <c r="X134" s="1">
        <v>127.8</v>
      </c>
      <c r="Y134" s="1">
        <v>117.0</v>
      </c>
      <c r="Z134" s="1">
        <v>125.7</v>
      </c>
      <c r="AA134" s="1">
        <v>132.2</v>
      </c>
      <c r="AB134" s="1">
        <v>122.8</v>
      </c>
      <c r="AC134" s="1">
        <v>124.9</v>
      </c>
      <c r="AD134" s="1">
        <v>133.4</v>
      </c>
    </row>
    <row r="135" ht="14.25" customHeight="1">
      <c r="A135" s="1" t="s">
        <v>33</v>
      </c>
      <c r="B135" s="1">
        <v>2016.0</v>
      </c>
      <c r="C135" s="1" t="s">
        <v>42</v>
      </c>
      <c r="D135" s="1">
        <v>128.1</v>
      </c>
      <c r="E135" s="1">
        <v>137.7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</v>
      </c>
      <c r="N135" s="1">
        <v>122.1</v>
      </c>
      <c r="O135" s="1">
        <v>138.8</v>
      </c>
      <c r="P135" s="1">
        <v>135.7</v>
      </c>
      <c r="Q135" s="1">
        <v>143.9</v>
      </c>
      <c r="R135" s="1">
        <v>128.7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128.0</v>
      </c>
    </row>
    <row r="136" ht="14.25" customHeight="1">
      <c r="A136" s="1" t="s">
        <v>34</v>
      </c>
      <c r="B136" s="1">
        <v>2016.0</v>
      </c>
      <c r="C136" s="1" t="s">
        <v>42</v>
      </c>
      <c r="D136" s="1">
        <v>129.9</v>
      </c>
      <c r="E136" s="1">
        <v>138.0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150.7</v>
      </c>
      <c r="K136" s="1">
        <v>171.5</v>
      </c>
      <c r="L136" s="1">
        <v>113.8</v>
      </c>
      <c r="M136" s="1">
        <v>138.8</v>
      </c>
      <c r="N136" s="1">
        <v>126.0</v>
      </c>
      <c r="O136" s="1">
        <v>140.2</v>
      </c>
      <c r="P136" s="1">
        <v>136.6</v>
      </c>
      <c r="Q136" s="1">
        <v>141.0</v>
      </c>
      <c r="R136" s="1">
        <v>134.6</v>
      </c>
      <c r="S136" s="1">
        <v>128.6</v>
      </c>
      <c r="T136" s="1">
        <v>133.8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</v>
      </c>
      <c r="AB136" s="1">
        <v>122.1</v>
      </c>
      <c r="AC136" s="1">
        <v>122.8</v>
      </c>
      <c r="AD136" s="1">
        <v>130.9</v>
      </c>
    </row>
    <row r="137" ht="14.25" customHeight="1">
      <c r="A137" s="1" t="s">
        <v>30</v>
      </c>
      <c r="B137" s="1">
        <v>2016.0</v>
      </c>
      <c r="C137" s="1" t="s">
        <v>43</v>
      </c>
      <c r="D137" s="1">
        <v>131.3</v>
      </c>
      <c r="E137" s="1">
        <v>137.6</v>
      </c>
      <c r="F137" s="1">
        <v>130.1</v>
      </c>
      <c r="G137" s="1">
        <v>136.0</v>
      </c>
      <c r="H137" s="1">
        <v>120.8</v>
      </c>
      <c r="I137" s="1">
        <v>138.4</v>
      </c>
      <c r="J137" s="1">
        <v>149.2</v>
      </c>
      <c r="K137" s="1">
        <v>170.2</v>
      </c>
      <c r="L137" s="1">
        <v>113.4</v>
      </c>
      <c r="M137" s="1">
        <v>136.3</v>
      </c>
      <c r="N137" s="1">
        <v>128.7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</v>
      </c>
      <c r="T137" s="1">
        <v>138.8</v>
      </c>
      <c r="U137" s="1" t="s">
        <v>32</v>
      </c>
      <c r="V137" s="1">
        <v>129.8</v>
      </c>
      <c r="W137" s="1">
        <v>131.8</v>
      </c>
      <c r="X137" s="1">
        <v>128.7</v>
      </c>
      <c r="Y137" s="1">
        <v>117.8</v>
      </c>
      <c r="Z137" s="1">
        <v>126.5</v>
      </c>
      <c r="AA137" s="1">
        <v>133.0</v>
      </c>
      <c r="AB137" s="1">
        <v>123.0</v>
      </c>
      <c r="AC137" s="1">
        <v>125.7</v>
      </c>
      <c r="AD137" s="1">
        <v>133.8</v>
      </c>
    </row>
    <row r="138" ht="14.25" customHeight="1">
      <c r="A138" s="1" t="s">
        <v>33</v>
      </c>
      <c r="B138" s="1">
        <v>2016.0</v>
      </c>
      <c r="C138" s="1" t="s">
        <v>43</v>
      </c>
      <c r="D138" s="1">
        <v>128.7</v>
      </c>
      <c r="E138" s="1">
        <v>138.4</v>
      </c>
      <c r="F138" s="1">
        <v>130.3</v>
      </c>
      <c r="G138" s="1">
        <v>132.7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</v>
      </c>
      <c r="N138" s="1">
        <v>122.5</v>
      </c>
      <c r="O138" s="1">
        <v>139.6</v>
      </c>
      <c r="P138" s="1">
        <v>136.3</v>
      </c>
      <c r="Q138" s="1">
        <v>144.3</v>
      </c>
      <c r="R138" s="1">
        <v>129.1</v>
      </c>
      <c r="S138" s="1">
        <v>121.9</v>
      </c>
      <c r="T138" s="1">
        <v>128.0</v>
      </c>
      <c r="U138" s="1">
        <v>128.7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ht="14.25" customHeight="1">
      <c r="A139" s="1" t="s">
        <v>34</v>
      </c>
      <c r="B139" s="1">
        <v>2016.0</v>
      </c>
      <c r="C139" s="1" t="s">
        <v>43</v>
      </c>
      <c r="D139" s="1">
        <v>130.5</v>
      </c>
      <c r="E139" s="1">
        <v>137.9</v>
      </c>
      <c r="F139" s="1">
        <v>130.2</v>
      </c>
      <c r="G139" s="1">
        <v>134.8</v>
      </c>
      <c r="H139" s="1">
        <v>117.8</v>
      </c>
      <c r="I139" s="1">
        <v>134.7</v>
      </c>
      <c r="J139" s="1">
        <v>151.2</v>
      </c>
      <c r="K139" s="1">
        <v>172.1</v>
      </c>
      <c r="L139" s="1">
        <v>114.1</v>
      </c>
      <c r="M139" s="1">
        <v>139.3</v>
      </c>
      <c r="N139" s="1">
        <v>126.1</v>
      </c>
      <c r="O139" s="1">
        <v>141.1</v>
      </c>
      <c r="P139" s="1">
        <v>137.0</v>
      </c>
      <c r="Q139" s="1">
        <v>141.8</v>
      </c>
      <c r="R139" s="1">
        <v>135.5</v>
      </c>
      <c r="S139" s="1">
        <v>129.1</v>
      </c>
      <c r="T139" s="1">
        <v>134.5</v>
      </c>
      <c r="U139" s="1">
        <v>128.7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ht="14.25" customHeight="1">
      <c r="A140" s="1" t="s">
        <v>30</v>
      </c>
      <c r="B140" s="1">
        <v>2016.0</v>
      </c>
      <c r="C140" s="1" t="s">
        <v>45</v>
      </c>
      <c r="D140" s="1">
        <v>132.0</v>
      </c>
      <c r="E140" s="1">
        <v>137.4</v>
      </c>
      <c r="F140" s="1">
        <v>130.6</v>
      </c>
      <c r="G140" s="1">
        <v>136.2</v>
      </c>
      <c r="H140" s="1">
        <v>121.1</v>
      </c>
      <c r="I140" s="1">
        <v>136.9</v>
      </c>
      <c r="J140" s="1">
        <v>141.8</v>
      </c>
      <c r="K140" s="1">
        <v>170.0</v>
      </c>
      <c r="L140" s="1">
        <v>113.4</v>
      </c>
      <c r="M140" s="1">
        <v>136.8</v>
      </c>
      <c r="N140" s="1">
        <v>128.7</v>
      </c>
      <c r="O140" s="1">
        <v>143.1</v>
      </c>
      <c r="P140" s="1">
        <v>136.6</v>
      </c>
      <c r="Q140" s="1">
        <v>141.2</v>
      </c>
      <c r="R140" s="1">
        <v>139.9</v>
      </c>
      <c r="S140" s="1">
        <v>134.5</v>
      </c>
      <c r="T140" s="1">
        <v>139.2</v>
      </c>
      <c r="U140" s="1" t="s">
        <v>32</v>
      </c>
      <c r="V140" s="1">
        <v>130.3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133.7</v>
      </c>
      <c r="AB140" s="1">
        <v>123.5</v>
      </c>
      <c r="AC140" s="1">
        <v>126.1</v>
      </c>
      <c r="AD140" s="1">
        <v>133.6</v>
      </c>
    </row>
    <row r="141" ht="14.25" customHeight="1">
      <c r="A141" s="1" t="s">
        <v>33</v>
      </c>
      <c r="B141" s="1">
        <v>2016.0</v>
      </c>
      <c r="C141" s="1" t="s">
        <v>45</v>
      </c>
      <c r="D141" s="1">
        <v>130.2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</v>
      </c>
      <c r="J141" s="1">
        <v>142.0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</v>
      </c>
      <c r="P141" s="1">
        <v>135.2</v>
      </c>
      <c r="Q141" s="1">
        <v>144.3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ht="14.25" customHeight="1">
      <c r="A142" s="1" t="s">
        <v>34</v>
      </c>
      <c r="B142" s="1">
        <v>2016.0</v>
      </c>
      <c r="C142" s="1" t="s">
        <v>45</v>
      </c>
      <c r="D142" s="1">
        <v>131.4</v>
      </c>
      <c r="E142" s="1">
        <v>137.8</v>
      </c>
      <c r="F142" s="1">
        <v>132.0</v>
      </c>
      <c r="G142" s="1">
        <v>135.0</v>
      </c>
      <c r="H142" s="1">
        <v>118.0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139.7</v>
      </c>
      <c r="N142" s="1">
        <v>126.2</v>
      </c>
      <c r="O142" s="1">
        <v>141.8</v>
      </c>
      <c r="P142" s="1">
        <v>136.1</v>
      </c>
      <c r="Q142" s="1">
        <v>142.0</v>
      </c>
      <c r="R142" s="1">
        <v>135.8</v>
      </c>
      <c r="S142" s="1">
        <v>129.3</v>
      </c>
      <c r="T142" s="1">
        <v>135.0</v>
      </c>
      <c r="U142" s="1">
        <v>129.1</v>
      </c>
      <c r="V142" s="1">
        <v>125.0</v>
      </c>
      <c r="W142" s="1">
        <v>128.6</v>
      </c>
      <c r="X142" s="1">
        <v>126.4</v>
      </c>
      <c r="Y142" s="1">
        <v>115.7</v>
      </c>
      <c r="Z142" s="1">
        <v>124.0</v>
      </c>
      <c r="AA142" s="1">
        <v>132.8</v>
      </c>
      <c r="AB142" s="1">
        <v>122.6</v>
      </c>
      <c r="AC142" s="1">
        <v>123.8</v>
      </c>
      <c r="AD142" s="1">
        <v>131.2</v>
      </c>
    </row>
    <row r="143" ht="14.25" customHeight="1">
      <c r="A143" s="1" t="s">
        <v>30</v>
      </c>
      <c r="B143" s="1">
        <v>2016.0</v>
      </c>
      <c r="C143" s="1" t="s">
        <v>46</v>
      </c>
      <c r="D143" s="1">
        <v>132.6</v>
      </c>
      <c r="E143" s="1">
        <v>137.3</v>
      </c>
      <c r="F143" s="1">
        <v>131.6</v>
      </c>
      <c r="G143" s="1">
        <v>136.3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134.7</v>
      </c>
      <c r="Q143" s="1">
        <v>142.4</v>
      </c>
      <c r="R143" s="1">
        <v>140.4</v>
      </c>
      <c r="S143" s="1">
        <v>135.2</v>
      </c>
      <c r="T143" s="1">
        <v>139.7</v>
      </c>
      <c r="U143" s="1" t="s">
        <v>32</v>
      </c>
      <c r="V143" s="1">
        <v>132.0</v>
      </c>
      <c r="W143" s="1">
        <v>132.9</v>
      </c>
      <c r="X143" s="1">
        <v>129.7</v>
      </c>
      <c r="Y143" s="1">
        <v>118.6</v>
      </c>
      <c r="Z143" s="1">
        <v>127.3</v>
      </c>
      <c r="AA143" s="1">
        <v>134.2</v>
      </c>
      <c r="AB143" s="1">
        <v>121.9</v>
      </c>
      <c r="AC143" s="1">
        <v>126.3</v>
      </c>
      <c r="AD143" s="1">
        <v>132.8</v>
      </c>
    </row>
    <row r="144" ht="14.25" customHeight="1">
      <c r="A144" s="1" t="s">
        <v>33</v>
      </c>
      <c r="B144" s="1">
        <v>2016.0</v>
      </c>
      <c r="C144" s="1" t="s">
        <v>46</v>
      </c>
      <c r="D144" s="1">
        <v>131.6</v>
      </c>
      <c r="E144" s="1">
        <v>138.2</v>
      </c>
      <c r="F144" s="1">
        <v>134.9</v>
      </c>
      <c r="G144" s="1">
        <v>133.1</v>
      </c>
      <c r="H144" s="1">
        <v>113.5</v>
      </c>
      <c r="I144" s="1">
        <v>129.3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</v>
      </c>
      <c r="Q144" s="1">
        <v>145.0</v>
      </c>
      <c r="R144" s="1">
        <v>130.0</v>
      </c>
      <c r="S144" s="1">
        <v>122.2</v>
      </c>
      <c r="T144" s="1">
        <v>128.8</v>
      </c>
      <c r="U144" s="1">
        <v>128.5</v>
      </c>
      <c r="V144" s="1">
        <v>117.8</v>
      </c>
      <c r="W144" s="1">
        <v>125.0</v>
      </c>
      <c r="X144" s="1">
        <v>122.3</v>
      </c>
      <c r="Y144" s="1">
        <v>113.7</v>
      </c>
      <c r="Z144" s="1">
        <v>121.8</v>
      </c>
      <c r="AA144" s="1">
        <v>132.3</v>
      </c>
      <c r="AB144" s="1">
        <v>119.9</v>
      </c>
      <c r="AC144" s="1">
        <v>121.4</v>
      </c>
      <c r="AD144" s="1">
        <v>127.6</v>
      </c>
    </row>
    <row r="145" ht="14.25" customHeight="1">
      <c r="A145" s="1" t="s">
        <v>34</v>
      </c>
      <c r="B145" s="1">
        <v>2016.0</v>
      </c>
      <c r="C145" s="1" t="s">
        <v>46</v>
      </c>
      <c r="D145" s="1">
        <v>132.3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132.7</v>
      </c>
      <c r="J145" s="1">
        <v>125.3</v>
      </c>
      <c r="K145" s="1">
        <v>168.7</v>
      </c>
      <c r="L145" s="1">
        <v>114.4</v>
      </c>
      <c r="M145" s="1">
        <v>140.2</v>
      </c>
      <c r="N145" s="1">
        <v>126.6</v>
      </c>
      <c r="O145" s="1">
        <v>142.3</v>
      </c>
      <c r="P145" s="1">
        <v>134.0</v>
      </c>
      <c r="Q145" s="1">
        <v>143.1</v>
      </c>
      <c r="R145" s="1">
        <v>136.3</v>
      </c>
      <c r="S145" s="1">
        <v>129.8</v>
      </c>
      <c r="T145" s="1">
        <v>135.4</v>
      </c>
      <c r="U145" s="1">
        <v>128.5</v>
      </c>
      <c r="V145" s="1">
        <v>126.6</v>
      </c>
      <c r="W145" s="1">
        <v>129.2</v>
      </c>
      <c r="X145" s="1">
        <v>126.9</v>
      </c>
      <c r="Y145" s="1">
        <v>116.0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ht="14.25" customHeight="1">
      <c r="A146" s="1" t="s">
        <v>30</v>
      </c>
      <c r="B146" s="1">
        <v>2017.0</v>
      </c>
      <c r="C146" s="1" t="s">
        <v>31</v>
      </c>
      <c r="D146" s="1">
        <v>133.1</v>
      </c>
      <c r="E146" s="1">
        <v>137.8</v>
      </c>
      <c r="F146" s="1">
        <v>131.9</v>
      </c>
      <c r="G146" s="1">
        <v>136.7</v>
      </c>
      <c r="H146" s="1">
        <v>122.0</v>
      </c>
      <c r="I146" s="1">
        <v>136.0</v>
      </c>
      <c r="J146" s="1">
        <v>119.8</v>
      </c>
      <c r="K146" s="1">
        <v>161.7</v>
      </c>
      <c r="L146" s="1">
        <v>114.8</v>
      </c>
      <c r="M146" s="1">
        <v>136.9</v>
      </c>
      <c r="N146" s="1">
        <v>129.0</v>
      </c>
      <c r="O146" s="1">
        <v>143.9</v>
      </c>
      <c r="P146" s="1">
        <v>133.7</v>
      </c>
      <c r="Q146" s="1">
        <v>143.1</v>
      </c>
      <c r="R146" s="1">
        <v>140.7</v>
      </c>
      <c r="S146" s="1">
        <v>135.8</v>
      </c>
      <c r="T146" s="1">
        <v>140.0</v>
      </c>
      <c r="U146" s="1" t="s">
        <v>32</v>
      </c>
      <c r="V146" s="1">
        <v>132.1</v>
      </c>
      <c r="W146" s="1">
        <v>133.2</v>
      </c>
      <c r="X146" s="1">
        <v>129.9</v>
      </c>
      <c r="Y146" s="1">
        <v>119.1</v>
      </c>
      <c r="Z146" s="1">
        <v>127.0</v>
      </c>
      <c r="AA146" s="1">
        <v>134.6</v>
      </c>
      <c r="AB146" s="1">
        <v>122.3</v>
      </c>
      <c r="AC146" s="1">
        <v>126.6</v>
      </c>
      <c r="AD146" s="1">
        <v>132.4</v>
      </c>
    </row>
    <row r="147" ht="14.25" customHeight="1">
      <c r="A147" s="1" t="s">
        <v>33</v>
      </c>
      <c r="B147" s="1">
        <v>2017.0</v>
      </c>
      <c r="C147" s="1" t="s">
        <v>31</v>
      </c>
      <c r="D147" s="1">
        <v>132.2</v>
      </c>
      <c r="E147" s="1">
        <v>138.9</v>
      </c>
      <c r="F147" s="1">
        <v>132.6</v>
      </c>
      <c r="G147" s="1">
        <v>133.1</v>
      </c>
      <c r="H147" s="1">
        <v>114.0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132.0</v>
      </c>
      <c r="Q147" s="1">
        <v>145.6</v>
      </c>
      <c r="R147" s="1">
        <v>130.2</v>
      </c>
      <c r="S147" s="1">
        <v>122.3</v>
      </c>
      <c r="T147" s="1">
        <v>129.0</v>
      </c>
      <c r="U147" s="1">
        <v>129.6</v>
      </c>
      <c r="V147" s="1">
        <v>118.0</v>
      </c>
      <c r="W147" s="1">
        <v>125.1</v>
      </c>
      <c r="X147" s="1">
        <v>122.6</v>
      </c>
      <c r="Y147" s="1">
        <v>115.2</v>
      </c>
      <c r="Z147" s="1">
        <v>122.0</v>
      </c>
      <c r="AA147" s="1">
        <v>132.4</v>
      </c>
      <c r="AB147" s="1">
        <v>120.9</v>
      </c>
      <c r="AC147" s="1">
        <v>122.1</v>
      </c>
      <c r="AD147" s="1">
        <v>127.8</v>
      </c>
    </row>
    <row r="148" ht="14.25" customHeight="1">
      <c r="A148" s="1" t="s">
        <v>34</v>
      </c>
      <c r="B148" s="1">
        <v>2017.0</v>
      </c>
      <c r="C148" s="1" t="s">
        <v>31</v>
      </c>
      <c r="D148" s="1">
        <v>132.8</v>
      </c>
      <c r="E148" s="1">
        <v>138.2</v>
      </c>
      <c r="F148" s="1">
        <v>132.2</v>
      </c>
      <c r="G148" s="1">
        <v>135.4</v>
      </c>
      <c r="H148" s="1">
        <v>119.1</v>
      </c>
      <c r="I148" s="1">
        <v>133.0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</v>
      </c>
      <c r="P148" s="1">
        <v>133.1</v>
      </c>
      <c r="Q148" s="1">
        <v>143.8</v>
      </c>
      <c r="R148" s="1">
        <v>136.6</v>
      </c>
      <c r="S148" s="1">
        <v>130.2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117.0</v>
      </c>
      <c r="Z148" s="1">
        <v>124.2</v>
      </c>
      <c r="AA148" s="1">
        <v>133.3</v>
      </c>
      <c r="AB148" s="1">
        <v>121.7</v>
      </c>
      <c r="AC148" s="1">
        <v>124.4</v>
      </c>
      <c r="AD148" s="1">
        <v>130.3</v>
      </c>
    </row>
    <row r="149" ht="14.25" customHeight="1">
      <c r="A149" s="1" t="s">
        <v>30</v>
      </c>
      <c r="B149" s="1">
        <v>2017.0</v>
      </c>
      <c r="C149" s="1" t="s">
        <v>35</v>
      </c>
      <c r="D149" s="1">
        <v>133.3</v>
      </c>
      <c r="E149" s="1">
        <v>138.3</v>
      </c>
      <c r="F149" s="1">
        <v>129.3</v>
      </c>
      <c r="G149" s="1">
        <v>137.2</v>
      </c>
      <c r="H149" s="1">
        <v>122.1</v>
      </c>
      <c r="I149" s="1">
        <v>138.7</v>
      </c>
      <c r="J149" s="1">
        <v>119.1</v>
      </c>
      <c r="K149" s="1">
        <v>156.9</v>
      </c>
      <c r="L149" s="1">
        <v>116.2</v>
      </c>
      <c r="M149" s="1">
        <v>136.0</v>
      </c>
      <c r="N149" s="1">
        <v>129.4</v>
      </c>
      <c r="O149" s="1">
        <v>144.4</v>
      </c>
      <c r="P149" s="1">
        <v>133.6</v>
      </c>
      <c r="Q149" s="1">
        <v>143.7</v>
      </c>
      <c r="R149" s="1">
        <v>140.9</v>
      </c>
      <c r="S149" s="1">
        <v>135.8</v>
      </c>
      <c r="T149" s="1">
        <v>140.2</v>
      </c>
      <c r="U149" s="1" t="s">
        <v>32</v>
      </c>
      <c r="V149" s="1">
        <v>133.2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127.0</v>
      </c>
      <c r="AD149" s="1">
        <v>132.6</v>
      </c>
    </row>
    <row r="150" ht="14.25" customHeight="1">
      <c r="A150" s="1" t="s">
        <v>33</v>
      </c>
      <c r="B150" s="1">
        <v>2017.0</v>
      </c>
      <c r="C150" s="1" t="s">
        <v>35</v>
      </c>
      <c r="D150" s="1">
        <v>132.8</v>
      </c>
      <c r="E150" s="1">
        <v>139.8</v>
      </c>
      <c r="F150" s="1">
        <v>129.3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144.0</v>
      </c>
      <c r="N150" s="1">
        <v>123.4</v>
      </c>
      <c r="O150" s="1">
        <v>141.9</v>
      </c>
      <c r="P150" s="1">
        <v>132.1</v>
      </c>
      <c r="Q150" s="1">
        <v>146.3</v>
      </c>
      <c r="R150" s="1">
        <v>130.5</v>
      </c>
      <c r="S150" s="1">
        <v>122.5</v>
      </c>
      <c r="T150" s="1">
        <v>129.3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128.2</v>
      </c>
    </row>
    <row r="151" ht="14.25" customHeight="1">
      <c r="A151" s="1" t="s">
        <v>34</v>
      </c>
      <c r="B151" s="1">
        <v>2017.0</v>
      </c>
      <c r="C151" s="1" t="s">
        <v>35</v>
      </c>
      <c r="D151" s="1">
        <v>133.1</v>
      </c>
      <c r="E151" s="1">
        <v>138.8</v>
      </c>
      <c r="F151" s="1">
        <v>129.3</v>
      </c>
      <c r="G151" s="1">
        <v>135.8</v>
      </c>
      <c r="H151" s="1">
        <v>119.2</v>
      </c>
      <c r="I151" s="1">
        <v>135.3</v>
      </c>
      <c r="J151" s="1">
        <v>119.5</v>
      </c>
      <c r="K151" s="1">
        <v>152.2</v>
      </c>
      <c r="L151" s="1">
        <v>117.3</v>
      </c>
      <c r="M151" s="1">
        <v>138.7</v>
      </c>
      <c r="N151" s="1">
        <v>126.9</v>
      </c>
      <c r="O151" s="1">
        <v>143.2</v>
      </c>
      <c r="P151" s="1">
        <v>133.0</v>
      </c>
      <c r="Q151" s="1">
        <v>144.4</v>
      </c>
      <c r="R151" s="1">
        <v>136.8</v>
      </c>
      <c r="S151" s="1">
        <v>130.3</v>
      </c>
      <c r="T151" s="1">
        <v>135.9</v>
      </c>
      <c r="U151" s="1">
        <v>130.5</v>
      </c>
      <c r="V151" s="1">
        <v>127.9</v>
      </c>
      <c r="W151" s="1">
        <v>129.7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ht="14.25" customHeight="1">
      <c r="A152" s="1" t="s">
        <v>30</v>
      </c>
      <c r="B152" s="1">
        <v>2017.0</v>
      </c>
      <c r="C152" s="1" t="s">
        <v>36</v>
      </c>
      <c r="D152" s="1">
        <v>133.6</v>
      </c>
      <c r="E152" s="1">
        <v>138.8</v>
      </c>
      <c r="F152" s="1">
        <v>128.8</v>
      </c>
      <c r="G152" s="1">
        <v>137.2</v>
      </c>
      <c r="H152" s="1">
        <v>121.6</v>
      </c>
      <c r="I152" s="1">
        <v>139.7</v>
      </c>
      <c r="J152" s="1">
        <v>119.7</v>
      </c>
      <c r="K152" s="1">
        <v>148.0</v>
      </c>
      <c r="L152" s="1">
        <v>116.9</v>
      </c>
      <c r="M152" s="1">
        <v>135.6</v>
      </c>
      <c r="N152" s="1">
        <v>129.8</v>
      </c>
      <c r="O152" s="1">
        <v>145.4</v>
      </c>
      <c r="P152" s="1">
        <v>133.4</v>
      </c>
      <c r="Q152" s="1">
        <v>144.2</v>
      </c>
      <c r="R152" s="1">
        <v>141.6</v>
      </c>
      <c r="S152" s="1">
        <v>136.2</v>
      </c>
      <c r="T152" s="1">
        <v>140.8</v>
      </c>
      <c r="U152" s="1" t="s">
        <v>32</v>
      </c>
      <c r="V152" s="1">
        <v>134.2</v>
      </c>
      <c r="W152" s="1">
        <v>134.1</v>
      </c>
      <c r="X152" s="1">
        <v>130.6</v>
      </c>
      <c r="Y152" s="1">
        <v>119.8</v>
      </c>
      <c r="Z152" s="1">
        <v>128.3</v>
      </c>
      <c r="AA152" s="1">
        <v>135.2</v>
      </c>
      <c r="AB152" s="1">
        <v>123.3</v>
      </c>
      <c r="AC152" s="1">
        <v>127.4</v>
      </c>
      <c r="AD152" s="1">
        <v>132.8</v>
      </c>
    </row>
    <row r="153" ht="14.25" customHeight="1">
      <c r="A153" s="1" t="s">
        <v>33</v>
      </c>
      <c r="B153" s="1">
        <v>2017.0</v>
      </c>
      <c r="C153" s="1" t="s">
        <v>36</v>
      </c>
      <c r="D153" s="1">
        <v>132.7</v>
      </c>
      <c r="E153" s="1">
        <v>139.4</v>
      </c>
      <c r="F153" s="1">
        <v>128.4</v>
      </c>
      <c r="G153" s="1">
        <v>134.9</v>
      </c>
      <c r="H153" s="1">
        <v>114.0</v>
      </c>
      <c r="I153" s="1">
        <v>136.8</v>
      </c>
      <c r="J153" s="1">
        <v>122.2</v>
      </c>
      <c r="K153" s="1">
        <v>135.8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</v>
      </c>
      <c r="AB153" s="1">
        <v>121.7</v>
      </c>
      <c r="AC153" s="1">
        <v>122.6</v>
      </c>
      <c r="AD153" s="1">
        <v>128.7</v>
      </c>
    </row>
    <row r="154" ht="14.25" customHeight="1">
      <c r="A154" s="1" t="s">
        <v>34</v>
      </c>
      <c r="B154" s="1">
        <v>2017.0</v>
      </c>
      <c r="C154" s="1" t="s">
        <v>36</v>
      </c>
      <c r="D154" s="1">
        <v>133.3</v>
      </c>
      <c r="E154" s="1">
        <v>139.0</v>
      </c>
      <c r="F154" s="1">
        <v>128.6</v>
      </c>
      <c r="G154" s="1">
        <v>136.3</v>
      </c>
      <c r="H154" s="1">
        <v>118.8</v>
      </c>
      <c r="I154" s="1">
        <v>138.3</v>
      </c>
      <c r="J154" s="1">
        <v>120.5</v>
      </c>
      <c r="K154" s="1">
        <v>143.9</v>
      </c>
      <c r="L154" s="1">
        <v>118.0</v>
      </c>
      <c r="M154" s="1">
        <v>137.9</v>
      </c>
      <c r="N154" s="1">
        <v>127.2</v>
      </c>
      <c r="O154" s="1">
        <v>144.0</v>
      </c>
      <c r="P154" s="1">
        <v>133.1</v>
      </c>
      <c r="Q154" s="1">
        <v>145.1</v>
      </c>
      <c r="R154" s="1">
        <v>137.3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125.0</v>
      </c>
      <c r="AA154" s="1">
        <v>133.8</v>
      </c>
      <c r="AB154" s="1">
        <v>122.6</v>
      </c>
      <c r="AC154" s="1">
        <v>125.1</v>
      </c>
      <c r="AD154" s="1">
        <v>130.9</v>
      </c>
    </row>
    <row r="155" ht="14.25" customHeight="1">
      <c r="A155" s="1" t="s">
        <v>30</v>
      </c>
      <c r="B155" s="1">
        <v>2017.0</v>
      </c>
      <c r="C155" s="1" t="s">
        <v>37</v>
      </c>
      <c r="D155" s="1">
        <v>133.2</v>
      </c>
      <c r="E155" s="1">
        <v>138.7</v>
      </c>
      <c r="F155" s="1">
        <v>127.1</v>
      </c>
      <c r="G155" s="1">
        <v>137.7</v>
      </c>
      <c r="H155" s="1">
        <v>121.3</v>
      </c>
      <c r="I155" s="1">
        <v>141.8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130.0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</v>
      </c>
      <c r="T155" s="1">
        <v>141.6</v>
      </c>
      <c r="U155" s="1" t="s">
        <v>32</v>
      </c>
      <c r="V155" s="1">
        <v>135.0</v>
      </c>
      <c r="W155" s="1">
        <v>134.3</v>
      </c>
      <c r="X155" s="1">
        <v>131.0</v>
      </c>
      <c r="Y155" s="1">
        <v>119.2</v>
      </c>
      <c r="Z155" s="1">
        <v>128.3</v>
      </c>
      <c r="AA155" s="1">
        <v>135.7</v>
      </c>
      <c r="AB155" s="1">
        <v>123.7</v>
      </c>
      <c r="AC155" s="1">
        <v>127.5</v>
      </c>
      <c r="AD155" s="1">
        <v>132.9</v>
      </c>
    </row>
    <row r="156" ht="14.25" customHeight="1">
      <c r="A156" s="1" t="s">
        <v>33</v>
      </c>
      <c r="B156" s="1">
        <v>2017.0</v>
      </c>
      <c r="C156" s="1" t="s">
        <v>37</v>
      </c>
      <c r="D156" s="1">
        <v>132.7</v>
      </c>
      <c r="E156" s="1">
        <v>140.6</v>
      </c>
      <c r="F156" s="1">
        <v>124.5</v>
      </c>
      <c r="G156" s="1">
        <v>136.3</v>
      </c>
      <c r="H156" s="1">
        <v>113.5</v>
      </c>
      <c r="I156" s="1">
        <v>137.7</v>
      </c>
      <c r="J156" s="1">
        <v>127.1</v>
      </c>
      <c r="K156" s="1">
        <v>133.8</v>
      </c>
      <c r="L156" s="1">
        <v>120.8</v>
      </c>
      <c r="M156" s="1">
        <v>141.3</v>
      </c>
      <c r="N156" s="1">
        <v>123.8</v>
      </c>
      <c r="O156" s="1">
        <v>142.6</v>
      </c>
      <c r="P156" s="1">
        <v>133.4</v>
      </c>
      <c r="Q156" s="1">
        <v>148.0</v>
      </c>
      <c r="R156" s="1">
        <v>131.2</v>
      </c>
      <c r="S156" s="1">
        <v>123.0</v>
      </c>
      <c r="T156" s="1">
        <v>130.0</v>
      </c>
      <c r="U156" s="1">
        <v>131.7</v>
      </c>
      <c r="V156" s="1">
        <v>121.4</v>
      </c>
      <c r="W156" s="1">
        <v>126.0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ht="14.25" customHeight="1">
      <c r="A157" s="1" t="s">
        <v>34</v>
      </c>
      <c r="B157" s="1">
        <v>2017.0</v>
      </c>
      <c r="C157" s="1" t="s">
        <v>37</v>
      </c>
      <c r="D157" s="1">
        <v>133.0</v>
      </c>
      <c r="E157" s="1">
        <v>139.4</v>
      </c>
      <c r="F157" s="1">
        <v>126.1</v>
      </c>
      <c r="G157" s="1">
        <v>137.2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144.2</v>
      </c>
      <c r="P157" s="1">
        <v>133.5</v>
      </c>
      <c r="Q157" s="1">
        <v>145.4</v>
      </c>
      <c r="R157" s="1">
        <v>138.0</v>
      </c>
      <c r="S157" s="1">
        <v>131.1</v>
      </c>
      <c r="T157" s="1">
        <v>137.0</v>
      </c>
      <c r="U157" s="1">
        <v>131.7</v>
      </c>
      <c r="V157" s="1">
        <v>129.8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ht="14.25" customHeight="1">
      <c r="A158" s="1" t="s">
        <v>30</v>
      </c>
      <c r="B158" s="1">
        <v>2017.0</v>
      </c>
      <c r="C158" s="1" t="s">
        <v>38</v>
      </c>
      <c r="D158" s="1">
        <v>133.1</v>
      </c>
      <c r="E158" s="1">
        <v>140.3</v>
      </c>
      <c r="F158" s="1">
        <v>126.8</v>
      </c>
      <c r="G158" s="1">
        <v>138.2</v>
      </c>
      <c r="H158" s="1">
        <v>120.8</v>
      </c>
      <c r="I158" s="1">
        <v>140.2</v>
      </c>
      <c r="J158" s="1">
        <v>123.8</v>
      </c>
      <c r="K158" s="1">
        <v>141.8</v>
      </c>
      <c r="L158" s="1">
        <v>118.6</v>
      </c>
      <c r="M158" s="1">
        <v>134.0</v>
      </c>
      <c r="N158" s="1">
        <v>130.3</v>
      </c>
      <c r="O158" s="1">
        <v>145.8</v>
      </c>
      <c r="P158" s="1">
        <v>133.8</v>
      </c>
      <c r="Q158" s="1">
        <v>145.5</v>
      </c>
      <c r="R158" s="1">
        <v>142.5</v>
      </c>
      <c r="S158" s="1">
        <v>137.3</v>
      </c>
      <c r="T158" s="1">
        <v>141.8</v>
      </c>
      <c r="U158" s="1" t="s">
        <v>32</v>
      </c>
      <c r="V158" s="1">
        <v>135.0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</v>
      </c>
      <c r="AB158" s="1">
        <v>123.7</v>
      </c>
      <c r="AC158" s="1">
        <v>127.9</v>
      </c>
      <c r="AD158" s="1">
        <v>133.3</v>
      </c>
    </row>
    <row r="159" ht="14.25" customHeight="1">
      <c r="A159" s="1" t="s">
        <v>33</v>
      </c>
      <c r="B159" s="1">
        <v>2017.0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</v>
      </c>
      <c r="H159" s="1">
        <v>113.4</v>
      </c>
      <c r="I159" s="1">
        <v>135.2</v>
      </c>
      <c r="J159" s="1">
        <v>129.2</v>
      </c>
      <c r="K159" s="1">
        <v>131.5</v>
      </c>
      <c r="L159" s="1">
        <v>121.0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</v>
      </c>
      <c r="R159" s="1">
        <v>131.5</v>
      </c>
      <c r="S159" s="1">
        <v>123.2</v>
      </c>
      <c r="T159" s="1">
        <v>130.2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</v>
      </c>
      <c r="AB159" s="1">
        <v>122.0</v>
      </c>
      <c r="AC159" s="1">
        <v>122.6</v>
      </c>
      <c r="AD159" s="1">
        <v>129.3</v>
      </c>
    </row>
    <row r="160" ht="14.25" customHeight="1">
      <c r="A160" s="1" t="s">
        <v>34</v>
      </c>
      <c r="B160" s="1">
        <v>2017.0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137.7</v>
      </c>
      <c r="H160" s="1">
        <v>118.1</v>
      </c>
      <c r="I160" s="1">
        <v>137.9</v>
      </c>
      <c r="J160" s="1">
        <v>125.6</v>
      </c>
      <c r="K160" s="1">
        <v>138.3</v>
      </c>
      <c r="L160" s="1">
        <v>119.4</v>
      </c>
      <c r="M160" s="1">
        <v>136.0</v>
      </c>
      <c r="N160" s="1">
        <v>127.6</v>
      </c>
      <c r="O160" s="1">
        <v>144.5</v>
      </c>
      <c r="P160" s="1">
        <v>133.7</v>
      </c>
      <c r="Q160" s="1">
        <v>146.2</v>
      </c>
      <c r="R160" s="1">
        <v>138.2</v>
      </c>
      <c r="S160" s="1">
        <v>131.4</v>
      </c>
      <c r="T160" s="1">
        <v>137.2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</v>
      </c>
      <c r="AB160" s="1">
        <v>123.0</v>
      </c>
      <c r="AC160" s="1">
        <v>125.3</v>
      </c>
      <c r="AD160" s="1">
        <v>131.4</v>
      </c>
    </row>
    <row r="161" ht="14.25" customHeight="1">
      <c r="A161" s="1" t="s">
        <v>30</v>
      </c>
      <c r="B161" s="1">
        <v>2017.0</v>
      </c>
      <c r="C161" s="1" t="s">
        <v>39</v>
      </c>
      <c r="D161" s="1">
        <v>133.5</v>
      </c>
      <c r="E161" s="1">
        <v>143.7</v>
      </c>
      <c r="F161" s="1">
        <v>128.0</v>
      </c>
      <c r="G161" s="1">
        <v>138.6</v>
      </c>
      <c r="H161" s="1">
        <v>120.9</v>
      </c>
      <c r="I161" s="1">
        <v>140.9</v>
      </c>
      <c r="J161" s="1">
        <v>128.8</v>
      </c>
      <c r="K161" s="1">
        <v>140.2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</v>
      </c>
      <c r="R161" s="1">
        <v>143.1</v>
      </c>
      <c r="S161" s="1">
        <v>137.7</v>
      </c>
      <c r="T161" s="1">
        <v>142.3</v>
      </c>
      <c r="U161" s="1" t="s">
        <v>32</v>
      </c>
      <c r="V161" s="1">
        <v>134.8</v>
      </c>
      <c r="W161" s="1">
        <v>135.2</v>
      </c>
      <c r="X161" s="1">
        <v>131.3</v>
      </c>
      <c r="Y161" s="1">
        <v>119.4</v>
      </c>
      <c r="Z161" s="1">
        <v>129.8</v>
      </c>
      <c r="AA161" s="1">
        <v>136.9</v>
      </c>
      <c r="AB161" s="1">
        <v>124.1</v>
      </c>
      <c r="AC161" s="1">
        <v>128.1</v>
      </c>
      <c r="AD161" s="1">
        <v>133.9</v>
      </c>
    </row>
    <row r="162" ht="14.25" customHeight="1">
      <c r="A162" s="1" t="s">
        <v>33</v>
      </c>
      <c r="B162" s="1">
        <v>2017.0</v>
      </c>
      <c r="C162" s="1" t="s">
        <v>39</v>
      </c>
      <c r="D162" s="1">
        <v>132.9</v>
      </c>
      <c r="E162" s="1">
        <v>148.7</v>
      </c>
      <c r="F162" s="1">
        <v>128.3</v>
      </c>
      <c r="G162" s="1">
        <v>137.3</v>
      </c>
      <c r="H162" s="1">
        <v>113.5</v>
      </c>
      <c r="I162" s="1">
        <v>137.2</v>
      </c>
      <c r="J162" s="1">
        <v>142.2</v>
      </c>
      <c r="K162" s="1">
        <v>128.2</v>
      </c>
      <c r="L162" s="1">
        <v>120.9</v>
      </c>
      <c r="M162" s="1">
        <v>138.8</v>
      </c>
      <c r="N162" s="1">
        <v>124.2</v>
      </c>
      <c r="O162" s="1">
        <v>143.1</v>
      </c>
      <c r="P162" s="1">
        <v>135.7</v>
      </c>
      <c r="Q162" s="1">
        <v>148.6</v>
      </c>
      <c r="R162" s="1">
        <v>131.5</v>
      </c>
      <c r="S162" s="1">
        <v>123.2</v>
      </c>
      <c r="T162" s="1">
        <v>130.2</v>
      </c>
      <c r="U162" s="1">
        <v>131.4</v>
      </c>
      <c r="V162" s="1">
        <v>119.0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</v>
      </c>
      <c r="AB162" s="1">
        <v>122.5</v>
      </c>
      <c r="AC162" s="1">
        <v>122.7</v>
      </c>
      <c r="AD162" s="1">
        <v>129.9</v>
      </c>
    </row>
    <row r="163" ht="14.25" customHeight="1">
      <c r="A163" s="1" t="s">
        <v>34</v>
      </c>
      <c r="B163" s="1">
        <v>2017.0</v>
      </c>
      <c r="C163" s="1" t="s">
        <v>39</v>
      </c>
      <c r="D163" s="1">
        <v>133.3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139.2</v>
      </c>
      <c r="J163" s="1">
        <v>133.3</v>
      </c>
      <c r="K163" s="1">
        <v>136.2</v>
      </c>
      <c r="L163" s="1">
        <v>119.6</v>
      </c>
      <c r="M163" s="1">
        <v>135.3</v>
      </c>
      <c r="N163" s="1">
        <v>127.8</v>
      </c>
      <c r="O163" s="1">
        <v>144.9</v>
      </c>
      <c r="P163" s="1">
        <v>135.2</v>
      </c>
      <c r="Q163" s="1">
        <v>146.5</v>
      </c>
      <c r="R163" s="1">
        <v>138.5</v>
      </c>
      <c r="S163" s="1">
        <v>131.7</v>
      </c>
      <c r="T163" s="1">
        <v>137.5</v>
      </c>
      <c r="U163" s="1">
        <v>131.4</v>
      </c>
      <c r="V163" s="1">
        <v>128.8</v>
      </c>
      <c r="W163" s="1">
        <v>131.2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132.0</v>
      </c>
    </row>
    <row r="164" ht="14.25" customHeight="1">
      <c r="A164" s="1" t="s">
        <v>30</v>
      </c>
      <c r="B164" s="1">
        <v>2017.0</v>
      </c>
      <c r="C164" s="1" t="s">
        <v>40</v>
      </c>
      <c r="D164" s="1">
        <v>134.0</v>
      </c>
      <c r="E164" s="1">
        <v>144.2</v>
      </c>
      <c r="F164" s="1">
        <v>129.8</v>
      </c>
      <c r="G164" s="1">
        <v>139.0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120.0</v>
      </c>
      <c r="M164" s="1">
        <v>133.9</v>
      </c>
      <c r="N164" s="1">
        <v>131.4</v>
      </c>
      <c r="O164" s="1">
        <v>147.7</v>
      </c>
      <c r="P164" s="1">
        <v>138.5</v>
      </c>
      <c r="Q164" s="1">
        <v>147.4</v>
      </c>
      <c r="R164" s="1">
        <v>144.3</v>
      </c>
      <c r="S164" s="1">
        <v>138.1</v>
      </c>
      <c r="T164" s="1">
        <v>143.5</v>
      </c>
      <c r="U164" s="1" t="s">
        <v>32</v>
      </c>
      <c r="V164" s="1">
        <v>135.3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136.2</v>
      </c>
    </row>
    <row r="165" ht="14.25" customHeight="1">
      <c r="A165" s="1" t="s">
        <v>33</v>
      </c>
      <c r="B165" s="1">
        <v>2017.0</v>
      </c>
      <c r="C165" s="1" t="s">
        <v>40</v>
      </c>
      <c r="D165" s="1">
        <v>132.8</v>
      </c>
      <c r="E165" s="1">
        <v>148.4</v>
      </c>
      <c r="F165" s="1">
        <v>129.4</v>
      </c>
      <c r="G165" s="1">
        <v>137.7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</v>
      </c>
      <c r="N165" s="1">
        <v>124.4</v>
      </c>
      <c r="O165" s="1">
        <v>143.7</v>
      </c>
      <c r="P165" s="1">
        <v>139.8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125.0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123.0</v>
      </c>
      <c r="AD165" s="1">
        <v>131.8</v>
      </c>
    </row>
    <row r="166" ht="14.25" customHeight="1">
      <c r="A166" s="1" t="s">
        <v>34</v>
      </c>
      <c r="B166" s="1">
        <v>2017.0</v>
      </c>
      <c r="C166" s="1" t="s">
        <v>40</v>
      </c>
      <c r="D166" s="1">
        <v>133.6</v>
      </c>
      <c r="E166" s="1">
        <v>145.7</v>
      </c>
      <c r="F166" s="1">
        <v>129.6</v>
      </c>
      <c r="G166" s="1">
        <v>138.5</v>
      </c>
      <c r="H166" s="1">
        <v>118.1</v>
      </c>
      <c r="I166" s="1">
        <v>141.8</v>
      </c>
      <c r="J166" s="1">
        <v>159.5</v>
      </c>
      <c r="K166" s="1">
        <v>133.6</v>
      </c>
      <c r="L166" s="1">
        <v>120.5</v>
      </c>
      <c r="M166" s="1">
        <v>135.2</v>
      </c>
      <c r="N166" s="1">
        <v>128.5</v>
      </c>
      <c r="O166" s="1">
        <v>145.8</v>
      </c>
      <c r="P166" s="1">
        <v>139.0</v>
      </c>
      <c r="Q166" s="1">
        <v>148.2</v>
      </c>
      <c r="R166" s="1">
        <v>139.3</v>
      </c>
      <c r="S166" s="1">
        <v>132.1</v>
      </c>
      <c r="T166" s="1">
        <v>138.3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116.0</v>
      </c>
      <c r="Z166" s="1">
        <v>126.6</v>
      </c>
      <c r="AA166" s="1">
        <v>136.8</v>
      </c>
      <c r="AB166" s="1">
        <v>123.6</v>
      </c>
      <c r="AC166" s="1">
        <v>125.9</v>
      </c>
      <c r="AD166" s="1">
        <v>134.2</v>
      </c>
    </row>
    <row r="167" ht="14.25" customHeight="1">
      <c r="A167" s="1" t="s">
        <v>30</v>
      </c>
      <c r="B167" s="1">
        <v>2017.0</v>
      </c>
      <c r="C167" s="1" t="s">
        <v>41</v>
      </c>
      <c r="D167" s="1">
        <v>134.8</v>
      </c>
      <c r="E167" s="1">
        <v>143.1</v>
      </c>
      <c r="F167" s="1">
        <v>130.0</v>
      </c>
      <c r="G167" s="1">
        <v>139.4</v>
      </c>
      <c r="H167" s="1">
        <v>120.5</v>
      </c>
      <c r="I167" s="1">
        <v>148.0</v>
      </c>
      <c r="J167" s="1">
        <v>162.9</v>
      </c>
      <c r="K167" s="1">
        <v>137.4</v>
      </c>
      <c r="L167" s="1">
        <v>120.8</v>
      </c>
      <c r="M167" s="1">
        <v>134.7</v>
      </c>
      <c r="N167" s="1">
        <v>131.6</v>
      </c>
      <c r="O167" s="1">
        <v>148.7</v>
      </c>
      <c r="P167" s="1">
        <v>140.6</v>
      </c>
      <c r="Q167" s="1">
        <v>149.0</v>
      </c>
      <c r="R167" s="1">
        <v>145.3</v>
      </c>
      <c r="S167" s="1">
        <v>139.2</v>
      </c>
      <c r="T167" s="1">
        <v>144.5</v>
      </c>
      <c r="U167" s="1" t="s">
        <v>32</v>
      </c>
      <c r="V167" s="1">
        <v>136.4</v>
      </c>
      <c r="W167" s="1">
        <v>137.3</v>
      </c>
      <c r="X167" s="1">
        <v>133.0</v>
      </c>
      <c r="Y167" s="1">
        <v>120.3</v>
      </c>
      <c r="Z167" s="1">
        <v>131.5</v>
      </c>
      <c r="AA167" s="1">
        <v>140.2</v>
      </c>
      <c r="AB167" s="1">
        <v>125.4</v>
      </c>
      <c r="AC167" s="1">
        <v>129.7</v>
      </c>
      <c r="AD167" s="1">
        <v>137.8</v>
      </c>
    </row>
    <row r="168" ht="14.25" customHeight="1">
      <c r="A168" s="1" t="s">
        <v>33</v>
      </c>
      <c r="B168" s="1">
        <v>2017.0</v>
      </c>
      <c r="C168" s="1" t="s">
        <v>41</v>
      </c>
      <c r="D168" s="1">
        <v>133.2</v>
      </c>
      <c r="E168" s="1">
        <v>143.9</v>
      </c>
      <c r="F168" s="1">
        <v>128.3</v>
      </c>
      <c r="G168" s="1">
        <v>138.3</v>
      </c>
      <c r="H168" s="1">
        <v>114.1</v>
      </c>
      <c r="I168" s="1">
        <v>142.7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132.7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135.7</v>
      </c>
      <c r="AB168" s="1">
        <v>123.3</v>
      </c>
      <c r="AC168" s="1">
        <v>123.8</v>
      </c>
      <c r="AD168" s="1">
        <v>132.7</v>
      </c>
    </row>
    <row r="169" ht="14.25" customHeight="1">
      <c r="A169" s="1" t="s">
        <v>34</v>
      </c>
      <c r="B169" s="1">
        <v>2017.0</v>
      </c>
      <c r="C169" s="1" t="s">
        <v>41</v>
      </c>
      <c r="D169" s="1">
        <v>134.3</v>
      </c>
      <c r="E169" s="1">
        <v>143.4</v>
      </c>
      <c r="F169" s="1">
        <v>129.3</v>
      </c>
      <c r="G169" s="1">
        <v>139.0</v>
      </c>
      <c r="H169" s="1">
        <v>118.1</v>
      </c>
      <c r="I169" s="1">
        <v>145.5</v>
      </c>
      <c r="J169" s="1">
        <v>168.6</v>
      </c>
      <c r="K169" s="1">
        <v>132.7</v>
      </c>
      <c r="L169" s="1">
        <v>121.2</v>
      </c>
      <c r="M169" s="1">
        <v>135.6</v>
      </c>
      <c r="N169" s="1">
        <v>128.7</v>
      </c>
      <c r="O169" s="1">
        <v>146.8</v>
      </c>
      <c r="P169" s="1">
        <v>140.6</v>
      </c>
      <c r="Q169" s="1">
        <v>149.8</v>
      </c>
      <c r="R169" s="1">
        <v>140.3</v>
      </c>
      <c r="S169" s="1">
        <v>133.0</v>
      </c>
      <c r="T169" s="1">
        <v>139.3</v>
      </c>
      <c r="U169" s="1">
        <v>134.4</v>
      </c>
      <c r="V169" s="1">
        <v>129.8</v>
      </c>
      <c r="W169" s="1">
        <v>132.8</v>
      </c>
      <c r="X169" s="1">
        <v>130.2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ht="14.25" customHeight="1">
      <c r="A170" s="1" t="s">
        <v>30</v>
      </c>
      <c r="B170" s="1">
        <v>2017.0</v>
      </c>
      <c r="C170" s="1" t="s">
        <v>42</v>
      </c>
      <c r="D170" s="1">
        <v>135.2</v>
      </c>
      <c r="E170" s="1">
        <v>142.0</v>
      </c>
      <c r="F170" s="1">
        <v>130.5</v>
      </c>
      <c r="G170" s="1">
        <v>140.2</v>
      </c>
      <c r="H170" s="1">
        <v>120.7</v>
      </c>
      <c r="I170" s="1">
        <v>147.8</v>
      </c>
      <c r="J170" s="1">
        <v>154.5</v>
      </c>
      <c r="K170" s="1">
        <v>137.1</v>
      </c>
      <c r="L170" s="1">
        <v>121.0</v>
      </c>
      <c r="M170" s="1">
        <v>134.7</v>
      </c>
      <c r="N170" s="1">
        <v>131.7</v>
      </c>
      <c r="O170" s="1">
        <v>149.3</v>
      </c>
      <c r="P170" s="1">
        <v>139.6</v>
      </c>
      <c r="Q170" s="1">
        <v>149.8</v>
      </c>
      <c r="R170" s="1">
        <v>146.1</v>
      </c>
      <c r="S170" s="1">
        <v>139.7</v>
      </c>
      <c r="T170" s="1">
        <v>145.2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</v>
      </c>
      <c r="AA170" s="1">
        <v>139.6</v>
      </c>
      <c r="AB170" s="1">
        <v>126.7</v>
      </c>
      <c r="AC170" s="1">
        <v>130.3</v>
      </c>
      <c r="AD170" s="1">
        <v>137.6</v>
      </c>
    </row>
    <row r="171" ht="14.25" customHeight="1">
      <c r="A171" s="1" t="s">
        <v>33</v>
      </c>
      <c r="B171" s="1">
        <v>2017.0</v>
      </c>
      <c r="C171" s="1" t="s">
        <v>42</v>
      </c>
      <c r="D171" s="1">
        <v>133.6</v>
      </c>
      <c r="E171" s="1">
        <v>143.0</v>
      </c>
      <c r="F171" s="1">
        <v>129.7</v>
      </c>
      <c r="G171" s="1">
        <v>138.7</v>
      </c>
      <c r="H171" s="1">
        <v>114.5</v>
      </c>
      <c r="I171" s="1">
        <v>137.5</v>
      </c>
      <c r="J171" s="1">
        <v>160.7</v>
      </c>
      <c r="K171" s="1">
        <v>124.5</v>
      </c>
      <c r="L171" s="1">
        <v>122.4</v>
      </c>
      <c r="M171" s="1">
        <v>137.3</v>
      </c>
      <c r="N171" s="1">
        <v>124.8</v>
      </c>
      <c r="O171" s="1">
        <v>145.0</v>
      </c>
      <c r="P171" s="1">
        <v>138.0</v>
      </c>
      <c r="Q171" s="1">
        <v>153.6</v>
      </c>
      <c r="R171" s="1">
        <v>133.3</v>
      </c>
      <c r="S171" s="1">
        <v>124.6</v>
      </c>
      <c r="T171" s="1">
        <v>132.0</v>
      </c>
      <c r="U171" s="1">
        <v>135.7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ht="14.25" customHeight="1">
      <c r="A172" s="1" t="s">
        <v>34</v>
      </c>
      <c r="B172" s="1">
        <v>2017.0</v>
      </c>
      <c r="C172" s="1" t="s">
        <v>42</v>
      </c>
      <c r="D172" s="1">
        <v>134.7</v>
      </c>
      <c r="E172" s="1">
        <v>142.4</v>
      </c>
      <c r="F172" s="1">
        <v>130.2</v>
      </c>
      <c r="G172" s="1">
        <v>139.6</v>
      </c>
      <c r="H172" s="1">
        <v>118.4</v>
      </c>
      <c r="I172" s="1">
        <v>143.0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</v>
      </c>
      <c r="O172" s="1">
        <v>147.3</v>
      </c>
      <c r="P172" s="1">
        <v>139.0</v>
      </c>
      <c r="Q172" s="1">
        <v>150.8</v>
      </c>
      <c r="R172" s="1">
        <v>141.1</v>
      </c>
      <c r="S172" s="1">
        <v>133.4</v>
      </c>
      <c r="T172" s="1">
        <v>140.0</v>
      </c>
      <c r="U172" s="1">
        <v>135.7</v>
      </c>
      <c r="V172" s="1">
        <v>131.0</v>
      </c>
      <c r="W172" s="1">
        <v>133.3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135.2</v>
      </c>
    </row>
    <row r="173" ht="14.25" customHeight="1">
      <c r="A173" s="1" t="s">
        <v>30</v>
      </c>
      <c r="B173" s="1">
        <v>2017.0</v>
      </c>
      <c r="C173" s="1" t="s">
        <v>43</v>
      </c>
      <c r="D173" s="1">
        <v>135.9</v>
      </c>
      <c r="E173" s="1">
        <v>141.9</v>
      </c>
      <c r="F173" s="1">
        <v>131.0</v>
      </c>
      <c r="G173" s="1">
        <v>141.5</v>
      </c>
      <c r="H173" s="1">
        <v>121.4</v>
      </c>
      <c r="I173" s="1">
        <v>146.7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</v>
      </c>
      <c r="O173" s="1">
        <v>150.3</v>
      </c>
      <c r="P173" s="1">
        <v>140.4</v>
      </c>
      <c r="Q173" s="1">
        <v>150.5</v>
      </c>
      <c r="R173" s="1">
        <v>147.2</v>
      </c>
      <c r="S173" s="1">
        <v>140.6</v>
      </c>
      <c r="T173" s="1">
        <v>146.2</v>
      </c>
      <c r="U173" s="1" t="s">
        <v>32</v>
      </c>
      <c r="V173" s="1">
        <v>138.1</v>
      </c>
      <c r="W173" s="1">
        <v>138.4</v>
      </c>
      <c r="X173" s="1">
        <v>134.2</v>
      </c>
      <c r="Y173" s="1">
        <v>121.0</v>
      </c>
      <c r="Z173" s="1">
        <v>133.0</v>
      </c>
      <c r="AA173" s="1">
        <v>140.1</v>
      </c>
      <c r="AB173" s="1">
        <v>127.4</v>
      </c>
      <c r="AC173" s="1">
        <v>130.7</v>
      </c>
      <c r="AD173" s="1">
        <v>138.3</v>
      </c>
    </row>
    <row r="174" ht="14.25" customHeight="1">
      <c r="A174" s="1" t="s">
        <v>33</v>
      </c>
      <c r="B174" s="1">
        <v>2017.0</v>
      </c>
      <c r="C174" s="1" t="s">
        <v>43</v>
      </c>
      <c r="D174" s="1">
        <v>133.9</v>
      </c>
      <c r="E174" s="1">
        <v>142.8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</v>
      </c>
      <c r="N174" s="1">
        <v>125.1</v>
      </c>
      <c r="O174" s="1">
        <v>145.5</v>
      </c>
      <c r="P174" s="1">
        <v>139.7</v>
      </c>
      <c r="Q174" s="1">
        <v>154.6</v>
      </c>
      <c r="R174" s="1">
        <v>134.0</v>
      </c>
      <c r="S174" s="1">
        <v>124.9</v>
      </c>
      <c r="T174" s="1">
        <v>132.6</v>
      </c>
      <c r="U174" s="1">
        <v>137.3</v>
      </c>
      <c r="V174" s="1">
        <v>122.6</v>
      </c>
      <c r="W174" s="1">
        <v>128.3</v>
      </c>
      <c r="X174" s="1">
        <v>126.6</v>
      </c>
      <c r="Y174" s="1">
        <v>115.0</v>
      </c>
      <c r="Z174" s="1">
        <v>124.8</v>
      </c>
      <c r="AA174" s="1">
        <v>136.3</v>
      </c>
      <c r="AB174" s="1">
        <v>124.6</v>
      </c>
      <c r="AC174" s="1">
        <v>124.5</v>
      </c>
      <c r="AD174" s="1">
        <v>133.5</v>
      </c>
    </row>
    <row r="175" ht="14.25" customHeight="1">
      <c r="A175" s="1" t="s">
        <v>34</v>
      </c>
      <c r="B175" s="1">
        <v>2017.0</v>
      </c>
      <c r="C175" s="1" t="s">
        <v>43</v>
      </c>
      <c r="D175" s="1">
        <v>135.3</v>
      </c>
      <c r="E175" s="1">
        <v>142.2</v>
      </c>
      <c r="F175" s="1">
        <v>131.2</v>
      </c>
      <c r="G175" s="1">
        <v>140.6</v>
      </c>
      <c r="H175" s="1">
        <v>119.0</v>
      </c>
      <c r="I175" s="1">
        <v>141.5</v>
      </c>
      <c r="J175" s="1">
        <v>162.6</v>
      </c>
      <c r="K175" s="1">
        <v>132.3</v>
      </c>
      <c r="L175" s="1">
        <v>121.8</v>
      </c>
      <c r="M175" s="1">
        <v>136.3</v>
      </c>
      <c r="N175" s="1">
        <v>128.7</v>
      </c>
      <c r="O175" s="1">
        <v>148.1</v>
      </c>
      <c r="P175" s="1">
        <v>140.1</v>
      </c>
      <c r="Q175" s="1">
        <v>151.6</v>
      </c>
      <c r="R175" s="1">
        <v>142.0</v>
      </c>
      <c r="S175" s="1">
        <v>134.1</v>
      </c>
      <c r="T175" s="1">
        <v>140.8</v>
      </c>
      <c r="U175" s="1">
        <v>137.3</v>
      </c>
      <c r="V175" s="1">
        <v>132.2</v>
      </c>
      <c r="W175" s="1">
        <v>133.6</v>
      </c>
      <c r="X175" s="1">
        <v>131.3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ht="14.25" customHeight="1">
      <c r="A176" s="1" t="s">
        <v>30</v>
      </c>
      <c r="B176" s="1">
        <v>2017.0</v>
      </c>
      <c r="C176" s="1" t="s">
        <v>45</v>
      </c>
      <c r="D176" s="1">
        <v>136.3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</v>
      </c>
      <c r="J176" s="1">
        <v>168.0</v>
      </c>
      <c r="K176" s="1">
        <v>135.8</v>
      </c>
      <c r="L176" s="1">
        <v>122.5</v>
      </c>
      <c r="M176" s="1">
        <v>136.0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148.2</v>
      </c>
      <c r="S176" s="1">
        <v>141.5</v>
      </c>
      <c r="T176" s="1">
        <v>147.3</v>
      </c>
      <c r="U176" s="1" t="s">
        <v>32</v>
      </c>
      <c r="V176" s="1">
        <v>141.1</v>
      </c>
      <c r="W176" s="1">
        <v>139.4</v>
      </c>
      <c r="X176" s="1">
        <v>135.8</v>
      </c>
      <c r="Y176" s="1">
        <v>121.6</v>
      </c>
      <c r="Z176" s="1">
        <v>133.7</v>
      </c>
      <c r="AA176" s="1">
        <v>141.5</v>
      </c>
      <c r="AB176" s="1">
        <v>128.1</v>
      </c>
      <c r="AC176" s="1">
        <v>131.7</v>
      </c>
      <c r="AD176" s="1">
        <v>140.0</v>
      </c>
    </row>
    <row r="177" ht="14.25" customHeight="1">
      <c r="A177" s="1" t="s">
        <v>33</v>
      </c>
      <c r="B177" s="1">
        <v>2017.0</v>
      </c>
      <c r="C177" s="1" t="s">
        <v>45</v>
      </c>
      <c r="D177" s="1">
        <v>134.3</v>
      </c>
      <c r="E177" s="1">
        <v>142.1</v>
      </c>
      <c r="F177" s="1">
        <v>146.7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</v>
      </c>
      <c r="N177" s="1">
        <v>125.4</v>
      </c>
      <c r="O177" s="1">
        <v>146.0</v>
      </c>
      <c r="P177" s="1">
        <v>141.5</v>
      </c>
      <c r="Q177" s="1">
        <v>156.2</v>
      </c>
      <c r="R177" s="1">
        <v>135.0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</v>
      </c>
    </row>
    <row r="178" ht="14.25" customHeight="1">
      <c r="A178" s="1" t="s">
        <v>34</v>
      </c>
      <c r="B178" s="1">
        <v>2017.0</v>
      </c>
      <c r="C178" s="1" t="s">
        <v>45</v>
      </c>
      <c r="D178" s="1">
        <v>135.7</v>
      </c>
      <c r="E178" s="1">
        <v>142.4</v>
      </c>
      <c r="F178" s="1">
        <v>142.9</v>
      </c>
      <c r="G178" s="1">
        <v>140.8</v>
      </c>
      <c r="H178" s="1">
        <v>119.2</v>
      </c>
      <c r="I178" s="1">
        <v>142.2</v>
      </c>
      <c r="J178" s="1">
        <v>173.8</v>
      </c>
      <c r="K178" s="1">
        <v>131.2</v>
      </c>
      <c r="L178" s="1">
        <v>123.0</v>
      </c>
      <c r="M178" s="1">
        <v>136.8</v>
      </c>
      <c r="N178" s="1">
        <v>129.2</v>
      </c>
      <c r="O178" s="1">
        <v>148.9</v>
      </c>
      <c r="P178" s="1">
        <v>142.1</v>
      </c>
      <c r="Q178" s="1">
        <v>153.2</v>
      </c>
      <c r="R178" s="1">
        <v>143.0</v>
      </c>
      <c r="S178" s="1">
        <v>134.8</v>
      </c>
      <c r="T178" s="1">
        <v>141.8</v>
      </c>
      <c r="U178" s="1">
        <v>138.6</v>
      </c>
      <c r="V178" s="1">
        <v>135.3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ht="14.25" customHeight="1">
      <c r="A179" s="1" t="s">
        <v>30</v>
      </c>
      <c r="B179" s="1">
        <v>2017.0</v>
      </c>
      <c r="C179" s="1" t="s">
        <v>46</v>
      </c>
      <c r="D179" s="1">
        <v>136.4</v>
      </c>
      <c r="E179" s="1">
        <v>143.7</v>
      </c>
      <c r="F179" s="1">
        <v>144.8</v>
      </c>
      <c r="G179" s="1">
        <v>141.9</v>
      </c>
      <c r="H179" s="1">
        <v>123.1</v>
      </c>
      <c r="I179" s="1">
        <v>147.2</v>
      </c>
      <c r="J179" s="1">
        <v>161.0</v>
      </c>
      <c r="K179" s="1">
        <v>133.8</v>
      </c>
      <c r="L179" s="1">
        <v>121.9</v>
      </c>
      <c r="M179" s="1">
        <v>135.8</v>
      </c>
      <c r="N179" s="1">
        <v>131.1</v>
      </c>
      <c r="O179" s="1">
        <v>151.4</v>
      </c>
      <c r="P179" s="1">
        <v>141.5</v>
      </c>
      <c r="Q179" s="1">
        <v>153.2</v>
      </c>
      <c r="R179" s="1">
        <v>148.0</v>
      </c>
      <c r="S179" s="1">
        <v>141.9</v>
      </c>
      <c r="T179" s="1">
        <v>147.2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122.0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</v>
      </c>
    </row>
    <row r="180" ht="14.25" customHeight="1">
      <c r="A180" s="1" t="s">
        <v>33</v>
      </c>
      <c r="B180" s="1">
        <v>2017.0</v>
      </c>
      <c r="C180" s="1" t="s">
        <v>46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135.0</v>
      </c>
      <c r="J180" s="1">
        <v>163.2</v>
      </c>
      <c r="K180" s="1">
        <v>119.8</v>
      </c>
      <c r="L180" s="1">
        <v>120.7</v>
      </c>
      <c r="M180" s="1">
        <v>139.7</v>
      </c>
      <c r="N180" s="1">
        <v>125.7</v>
      </c>
      <c r="O180" s="1">
        <v>146.3</v>
      </c>
      <c r="P180" s="1">
        <v>138.8</v>
      </c>
      <c r="Q180" s="1">
        <v>157.0</v>
      </c>
      <c r="R180" s="1">
        <v>135.6</v>
      </c>
      <c r="S180" s="1">
        <v>125.6</v>
      </c>
      <c r="T180" s="1">
        <v>134.0</v>
      </c>
      <c r="U180" s="1">
        <v>139.1</v>
      </c>
      <c r="V180" s="1">
        <v>126.8</v>
      </c>
      <c r="W180" s="1">
        <v>129.3</v>
      </c>
      <c r="X180" s="1">
        <v>128.2</v>
      </c>
      <c r="Y180" s="1">
        <v>115.3</v>
      </c>
      <c r="Z180" s="1">
        <v>125.6</v>
      </c>
      <c r="AA180" s="1">
        <v>136.7</v>
      </c>
      <c r="AB180" s="1">
        <v>124.6</v>
      </c>
      <c r="AC180" s="1">
        <v>125.1</v>
      </c>
      <c r="AD180" s="1">
        <v>134.1</v>
      </c>
    </row>
    <row r="181" ht="14.25" customHeight="1">
      <c r="A181" s="1" t="s">
        <v>34</v>
      </c>
      <c r="B181" s="1">
        <v>2017.0</v>
      </c>
      <c r="C181" s="1" t="s">
        <v>46</v>
      </c>
      <c r="D181" s="1">
        <v>135.8</v>
      </c>
      <c r="E181" s="1">
        <v>143.3</v>
      </c>
      <c r="F181" s="1">
        <v>145.2</v>
      </c>
      <c r="G181" s="1">
        <v>141.0</v>
      </c>
      <c r="H181" s="1">
        <v>120.5</v>
      </c>
      <c r="I181" s="1">
        <v>141.5</v>
      </c>
      <c r="J181" s="1">
        <v>161.7</v>
      </c>
      <c r="K181" s="1">
        <v>129.1</v>
      </c>
      <c r="L181" s="1">
        <v>121.5</v>
      </c>
      <c r="M181" s="1">
        <v>137.1</v>
      </c>
      <c r="N181" s="1">
        <v>128.8</v>
      </c>
      <c r="O181" s="1">
        <v>149.0</v>
      </c>
      <c r="P181" s="1">
        <v>140.5</v>
      </c>
      <c r="Q181" s="1">
        <v>154.2</v>
      </c>
      <c r="R181" s="1">
        <v>143.1</v>
      </c>
      <c r="S181" s="1">
        <v>135.1</v>
      </c>
      <c r="T181" s="1">
        <v>142.0</v>
      </c>
      <c r="U181" s="1">
        <v>139.1</v>
      </c>
      <c r="V181" s="1">
        <v>136.6</v>
      </c>
      <c r="W181" s="1">
        <v>134.7</v>
      </c>
      <c r="X181" s="1">
        <v>133.1</v>
      </c>
      <c r="Y181" s="1">
        <v>118.5</v>
      </c>
      <c r="Z181" s="1">
        <v>129.0</v>
      </c>
      <c r="AA181" s="1">
        <v>138.5</v>
      </c>
      <c r="AB181" s="1">
        <v>126.5</v>
      </c>
      <c r="AC181" s="1">
        <v>128.6</v>
      </c>
      <c r="AD181" s="1">
        <v>137.2</v>
      </c>
    </row>
    <row r="182" ht="14.25" customHeight="1">
      <c r="A182" s="1" t="s">
        <v>30</v>
      </c>
      <c r="B182" s="1">
        <v>2018.0</v>
      </c>
      <c r="C182" s="1" t="s">
        <v>31</v>
      </c>
      <c r="D182" s="1">
        <v>136.6</v>
      </c>
      <c r="E182" s="1">
        <v>144.4</v>
      </c>
      <c r="F182" s="1">
        <v>143.8</v>
      </c>
      <c r="G182" s="1">
        <v>142.0</v>
      </c>
      <c r="H182" s="1">
        <v>123.2</v>
      </c>
      <c r="I182" s="1">
        <v>147.9</v>
      </c>
      <c r="J182" s="1">
        <v>152.1</v>
      </c>
      <c r="K182" s="1">
        <v>131.8</v>
      </c>
      <c r="L182" s="1">
        <v>119.5</v>
      </c>
      <c r="M182" s="1">
        <v>136.0</v>
      </c>
      <c r="N182" s="1">
        <v>131.2</v>
      </c>
      <c r="O182" s="1">
        <v>151.8</v>
      </c>
      <c r="P182" s="1">
        <v>140.4</v>
      </c>
      <c r="Q182" s="1">
        <v>153.6</v>
      </c>
      <c r="R182" s="1">
        <v>148.3</v>
      </c>
      <c r="S182" s="1">
        <v>142.3</v>
      </c>
      <c r="T182" s="1">
        <v>147.5</v>
      </c>
      <c r="U182" s="1" t="s">
        <v>32</v>
      </c>
      <c r="V182" s="1">
        <v>142.3</v>
      </c>
      <c r="W182" s="1">
        <v>139.8</v>
      </c>
      <c r="X182" s="1">
        <v>136.0</v>
      </c>
      <c r="Y182" s="1">
        <v>122.7</v>
      </c>
      <c r="Z182" s="1">
        <v>134.3</v>
      </c>
      <c r="AA182" s="1">
        <v>141.6</v>
      </c>
      <c r="AB182" s="1">
        <v>128.6</v>
      </c>
      <c r="AC182" s="1">
        <v>132.3</v>
      </c>
      <c r="AD182" s="1">
        <v>139.3</v>
      </c>
    </row>
    <row r="183" ht="14.25" customHeight="1">
      <c r="A183" s="1" t="s">
        <v>33</v>
      </c>
      <c r="B183" s="1">
        <v>2018.0</v>
      </c>
      <c r="C183" s="1" t="s">
        <v>31</v>
      </c>
      <c r="D183" s="1">
        <v>134.6</v>
      </c>
      <c r="E183" s="1">
        <v>143.7</v>
      </c>
      <c r="F183" s="1">
        <v>143.6</v>
      </c>
      <c r="G183" s="1">
        <v>139.6</v>
      </c>
      <c r="H183" s="1">
        <v>116.4</v>
      </c>
      <c r="I183" s="1">
        <v>133.8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</v>
      </c>
      <c r="P183" s="1">
        <v>137.2</v>
      </c>
      <c r="Q183" s="1">
        <v>157.7</v>
      </c>
      <c r="R183" s="1">
        <v>136.0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129.0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ht="14.25" customHeight="1">
      <c r="A184" s="1" t="s">
        <v>34</v>
      </c>
      <c r="B184" s="1">
        <v>2018.0</v>
      </c>
      <c r="C184" s="1" t="s">
        <v>31</v>
      </c>
      <c r="D184" s="1">
        <v>136.0</v>
      </c>
      <c r="E184" s="1">
        <v>144.2</v>
      </c>
      <c r="F184" s="1">
        <v>143.7</v>
      </c>
      <c r="G184" s="1">
        <v>141.1</v>
      </c>
      <c r="H184" s="1">
        <v>120.7</v>
      </c>
      <c r="I184" s="1">
        <v>141.3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129.0</v>
      </c>
      <c r="O184" s="1">
        <v>149.5</v>
      </c>
      <c r="P184" s="1">
        <v>139.2</v>
      </c>
      <c r="Q184" s="1">
        <v>154.7</v>
      </c>
      <c r="R184" s="1">
        <v>143.5</v>
      </c>
      <c r="S184" s="1">
        <v>135.5</v>
      </c>
      <c r="T184" s="1">
        <v>142.3</v>
      </c>
      <c r="U184" s="1">
        <v>140.4</v>
      </c>
      <c r="V184" s="1">
        <v>136.6</v>
      </c>
      <c r="W184" s="1">
        <v>134.9</v>
      </c>
      <c r="X184" s="1">
        <v>133.3</v>
      </c>
      <c r="Y184" s="1">
        <v>119.3</v>
      </c>
      <c r="Z184" s="1">
        <v>129.7</v>
      </c>
      <c r="AA184" s="1">
        <v>139.0</v>
      </c>
      <c r="AB184" s="1">
        <v>127.3</v>
      </c>
      <c r="AC184" s="1">
        <v>129.1</v>
      </c>
      <c r="AD184" s="1">
        <v>136.9</v>
      </c>
    </row>
    <row r="185" ht="14.25" customHeight="1">
      <c r="A185" s="1" t="s">
        <v>30</v>
      </c>
      <c r="B185" s="1">
        <v>2018.0</v>
      </c>
      <c r="C185" s="1" t="s">
        <v>35</v>
      </c>
      <c r="D185" s="1">
        <v>136.4</v>
      </c>
      <c r="E185" s="1">
        <v>143.7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130.2</v>
      </c>
      <c r="L185" s="1">
        <v>117.9</v>
      </c>
      <c r="M185" s="1">
        <v>135.6</v>
      </c>
      <c r="N185" s="1">
        <v>130.5</v>
      </c>
      <c r="O185" s="1">
        <v>151.7</v>
      </c>
      <c r="P185" s="1">
        <v>138.7</v>
      </c>
      <c r="Q185" s="1">
        <v>153.3</v>
      </c>
      <c r="R185" s="1">
        <v>148.7</v>
      </c>
      <c r="S185" s="1">
        <v>142.4</v>
      </c>
      <c r="T185" s="1">
        <v>147.8</v>
      </c>
      <c r="U185" s="1" t="s">
        <v>32</v>
      </c>
      <c r="V185" s="1">
        <v>142.4</v>
      </c>
      <c r="W185" s="1">
        <v>139.9</v>
      </c>
      <c r="X185" s="1">
        <v>136.2</v>
      </c>
      <c r="Y185" s="1">
        <v>123.3</v>
      </c>
      <c r="Z185" s="1">
        <v>134.3</v>
      </c>
      <c r="AA185" s="1">
        <v>141.5</v>
      </c>
      <c r="AB185" s="1">
        <v>128.8</v>
      </c>
      <c r="AC185" s="1">
        <v>132.5</v>
      </c>
      <c r="AD185" s="1">
        <v>138.5</v>
      </c>
    </row>
    <row r="186" ht="14.25" customHeight="1">
      <c r="A186" s="1" t="s">
        <v>33</v>
      </c>
      <c r="B186" s="1">
        <v>2018.0</v>
      </c>
      <c r="C186" s="1" t="s">
        <v>35</v>
      </c>
      <c r="D186" s="1">
        <v>134.8</v>
      </c>
      <c r="E186" s="1">
        <v>143.0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117.0</v>
      </c>
      <c r="L186" s="1">
        <v>115.4</v>
      </c>
      <c r="M186" s="1">
        <v>140.7</v>
      </c>
      <c r="N186" s="1">
        <v>125.9</v>
      </c>
      <c r="O186" s="1">
        <v>147.1</v>
      </c>
      <c r="P186" s="1">
        <v>135.6</v>
      </c>
      <c r="Q186" s="1">
        <v>159.3</v>
      </c>
      <c r="R186" s="1">
        <v>136.3</v>
      </c>
      <c r="S186" s="1">
        <v>126.1</v>
      </c>
      <c r="T186" s="1">
        <v>134.7</v>
      </c>
      <c r="U186" s="1">
        <v>141.3</v>
      </c>
      <c r="V186" s="1">
        <v>127.3</v>
      </c>
      <c r="W186" s="1">
        <v>129.9</v>
      </c>
      <c r="X186" s="1">
        <v>129.8</v>
      </c>
      <c r="Y186" s="1">
        <v>117.4</v>
      </c>
      <c r="Z186" s="1">
        <v>126.5</v>
      </c>
      <c r="AA186" s="1">
        <v>137.2</v>
      </c>
      <c r="AB186" s="1">
        <v>126.2</v>
      </c>
      <c r="AC186" s="1">
        <v>126.5</v>
      </c>
      <c r="AD186" s="1">
        <v>134.0</v>
      </c>
    </row>
    <row r="187" ht="14.25" customHeight="1">
      <c r="A187" s="1" t="s">
        <v>34</v>
      </c>
      <c r="B187" s="1">
        <v>2018.0</v>
      </c>
      <c r="C187" s="1" t="s">
        <v>35</v>
      </c>
      <c r="D187" s="1">
        <v>135.9</v>
      </c>
      <c r="E187" s="1">
        <v>143.5</v>
      </c>
      <c r="F187" s="1">
        <v>140.3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</v>
      </c>
      <c r="S187" s="1">
        <v>135.6</v>
      </c>
      <c r="T187" s="1">
        <v>142.6</v>
      </c>
      <c r="U187" s="1">
        <v>141.3</v>
      </c>
      <c r="V187" s="1">
        <v>136.7</v>
      </c>
      <c r="W187" s="1">
        <v>135.2</v>
      </c>
      <c r="X187" s="1">
        <v>133.8</v>
      </c>
      <c r="Y187" s="1">
        <v>120.2</v>
      </c>
      <c r="Z187" s="1">
        <v>129.9</v>
      </c>
      <c r="AA187" s="1">
        <v>139.0</v>
      </c>
      <c r="AB187" s="1">
        <v>127.7</v>
      </c>
      <c r="AC187" s="1">
        <v>129.6</v>
      </c>
      <c r="AD187" s="1">
        <v>136.4</v>
      </c>
    </row>
    <row r="188" ht="14.25" customHeight="1">
      <c r="A188" s="1" t="s">
        <v>30</v>
      </c>
      <c r="B188" s="1">
        <v>2018.0</v>
      </c>
      <c r="C188" s="1" t="s">
        <v>36</v>
      </c>
      <c r="D188" s="1">
        <v>136.8</v>
      </c>
      <c r="E188" s="1">
        <v>143.8</v>
      </c>
      <c r="F188" s="1">
        <v>140.0</v>
      </c>
      <c r="G188" s="1">
        <v>142.0</v>
      </c>
      <c r="H188" s="1">
        <v>123.2</v>
      </c>
      <c r="I188" s="1">
        <v>152.9</v>
      </c>
      <c r="J188" s="1">
        <v>138.0</v>
      </c>
      <c r="K188" s="1">
        <v>129.3</v>
      </c>
      <c r="L188" s="1">
        <v>117.1</v>
      </c>
      <c r="M188" s="1">
        <v>136.3</v>
      </c>
      <c r="N188" s="1">
        <v>131.2</v>
      </c>
      <c r="O188" s="1">
        <v>152.8</v>
      </c>
      <c r="P188" s="1">
        <v>138.6</v>
      </c>
      <c r="Q188" s="1">
        <v>155.1</v>
      </c>
      <c r="R188" s="1">
        <v>149.2</v>
      </c>
      <c r="S188" s="1">
        <v>143.0</v>
      </c>
      <c r="T188" s="1">
        <v>148.3</v>
      </c>
      <c r="U188" s="1" t="s">
        <v>32</v>
      </c>
      <c r="V188" s="1">
        <v>142.6</v>
      </c>
      <c r="W188" s="1">
        <v>139.9</v>
      </c>
      <c r="X188" s="1">
        <v>136.7</v>
      </c>
      <c r="Y188" s="1">
        <v>124.6</v>
      </c>
      <c r="Z188" s="1">
        <v>135.1</v>
      </c>
      <c r="AA188" s="1">
        <v>142.7</v>
      </c>
      <c r="AB188" s="1">
        <v>129.3</v>
      </c>
      <c r="AC188" s="1">
        <v>133.3</v>
      </c>
      <c r="AD188" s="1">
        <v>138.7</v>
      </c>
    </row>
    <row r="189" ht="14.25" customHeight="1">
      <c r="A189" s="1" t="s">
        <v>33</v>
      </c>
      <c r="B189" s="1">
        <v>2018.0</v>
      </c>
      <c r="C189" s="1" t="s">
        <v>36</v>
      </c>
      <c r="D189" s="1">
        <v>135.0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128.0</v>
      </c>
      <c r="K189" s="1">
        <v>115.5</v>
      </c>
      <c r="L189" s="1">
        <v>114.2</v>
      </c>
      <c r="M189" s="1">
        <v>140.7</v>
      </c>
      <c r="N189" s="1">
        <v>126.2</v>
      </c>
      <c r="O189" s="1">
        <v>147.6</v>
      </c>
      <c r="P189" s="1">
        <v>134.8</v>
      </c>
      <c r="Q189" s="1">
        <v>159.7</v>
      </c>
      <c r="R189" s="1">
        <v>136.7</v>
      </c>
      <c r="S189" s="1">
        <v>126.7</v>
      </c>
      <c r="T189" s="1">
        <v>135.2</v>
      </c>
      <c r="U189" s="1">
        <v>142.0</v>
      </c>
      <c r="V189" s="1">
        <v>126.4</v>
      </c>
      <c r="W189" s="1">
        <v>130.8</v>
      </c>
      <c r="X189" s="1">
        <v>130.5</v>
      </c>
      <c r="Y189" s="1">
        <v>117.8</v>
      </c>
      <c r="Z189" s="1">
        <v>126.8</v>
      </c>
      <c r="AA189" s="1">
        <v>137.8</v>
      </c>
      <c r="AB189" s="1">
        <v>126.7</v>
      </c>
      <c r="AC189" s="1">
        <v>127.1</v>
      </c>
      <c r="AD189" s="1">
        <v>134.0</v>
      </c>
    </row>
    <row r="190" ht="14.25" customHeight="1">
      <c r="A190" s="1" t="s">
        <v>34</v>
      </c>
      <c r="B190" s="1">
        <v>2018.0</v>
      </c>
      <c r="C190" s="1" t="s">
        <v>36</v>
      </c>
      <c r="D190" s="1">
        <v>136.2</v>
      </c>
      <c r="E190" s="1">
        <v>143.6</v>
      </c>
      <c r="F190" s="1">
        <v>138.3</v>
      </c>
      <c r="G190" s="1">
        <v>141.2</v>
      </c>
      <c r="H190" s="1">
        <v>120.7</v>
      </c>
      <c r="I190" s="1">
        <v>146.2</v>
      </c>
      <c r="J190" s="1">
        <v>134.6</v>
      </c>
      <c r="K190" s="1">
        <v>124.6</v>
      </c>
      <c r="L190" s="1">
        <v>116.1</v>
      </c>
      <c r="M190" s="1">
        <v>137.8</v>
      </c>
      <c r="N190" s="1">
        <v>129.1</v>
      </c>
      <c r="O190" s="1">
        <v>150.4</v>
      </c>
      <c r="P190" s="1">
        <v>137.2</v>
      </c>
      <c r="Q190" s="1">
        <v>156.3</v>
      </c>
      <c r="R190" s="1">
        <v>144.3</v>
      </c>
      <c r="S190" s="1">
        <v>136.2</v>
      </c>
      <c r="T190" s="1">
        <v>143.1</v>
      </c>
      <c r="U190" s="1">
        <v>142.0</v>
      </c>
      <c r="V190" s="1">
        <v>136.5</v>
      </c>
      <c r="W190" s="1">
        <v>135.6</v>
      </c>
      <c r="X190" s="1">
        <v>134.3</v>
      </c>
      <c r="Y190" s="1">
        <v>121.0</v>
      </c>
      <c r="Z190" s="1">
        <v>130.4</v>
      </c>
      <c r="AA190" s="1">
        <v>139.8</v>
      </c>
      <c r="AB190" s="1">
        <v>128.2</v>
      </c>
      <c r="AC190" s="1">
        <v>130.3</v>
      </c>
      <c r="AD190" s="1">
        <v>136.5</v>
      </c>
    </row>
    <row r="191" ht="14.25" customHeight="1">
      <c r="A191" s="1" t="s">
        <v>30</v>
      </c>
      <c r="B191" s="1">
        <v>2018.0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137.2</v>
      </c>
      <c r="N191" s="1">
        <v>131.9</v>
      </c>
      <c r="O191" s="1">
        <v>153.8</v>
      </c>
      <c r="P191" s="1">
        <v>138.6</v>
      </c>
      <c r="Q191" s="1">
        <v>156.1</v>
      </c>
      <c r="R191" s="1">
        <v>150.1</v>
      </c>
      <c r="S191" s="1">
        <v>143.3</v>
      </c>
      <c r="T191" s="1">
        <v>149.1</v>
      </c>
      <c r="U191" s="1" t="s">
        <v>32</v>
      </c>
      <c r="V191" s="1">
        <v>143.8</v>
      </c>
      <c r="W191" s="1">
        <v>140.9</v>
      </c>
      <c r="X191" s="1">
        <v>137.6</v>
      </c>
      <c r="Y191" s="1">
        <v>125.3</v>
      </c>
      <c r="Z191" s="1">
        <v>136.0</v>
      </c>
      <c r="AA191" s="1">
        <v>143.7</v>
      </c>
      <c r="AB191" s="1">
        <v>130.4</v>
      </c>
      <c r="AC191" s="1">
        <v>134.2</v>
      </c>
      <c r="AD191" s="1">
        <v>139.1</v>
      </c>
    </row>
    <row r="192" ht="14.25" customHeight="1">
      <c r="A192" s="1" t="s">
        <v>33</v>
      </c>
      <c r="B192" s="1">
        <v>2018.0</v>
      </c>
      <c r="C192" s="1" t="s">
        <v>37</v>
      </c>
      <c r="D192" s="1">
        <v>135.0</v>
      </c>
      <c r="E192" s="1">
        <v>144.3</v>
      </c>
      <c r="F192" s="1">
        <v>130.8</v>
      </c>
      <c r="G192" s="1">
        <v>140.3</v>
      </c>
      <c r="H192" s="1">
        <v>116.6</v>
      </c>
      <c r="I192" s="1">
        <v>150.1</v>
      </c>
      <c r="J192" s="1">
        <v>127.6</v>
      </c>
      <c r="K192" s="1">
        <v>114.0</v>
      </c>
      <c r="L192" s="1">
        <v>110.6</v>
      </c>
      <c r="M192" s="1">
        <v>140.2</v>
      </c>
      <c r="N192" s="1">
        <v>126.5</v>
      </c>
      <c r="O192" s="1">
        <v>148.3</v>
      </c>
      <c r="P192" s="1">
        <v>135.7</v>
      </c>
      <c r="Q192" s="1">
        <v>159.2</v>
      </c>
      <c r="R192" s="1">
        <v>137.8</v>
      </c>
      <c r="S192" s="1">
        <v>127.4</v>
      </c>
      <c r="T192" s="1">
        <v>136.2</v>
      </c>
      <c r="U192" s="1">
        <v>142.9</v>
      </c>
      <c r="V192" s="1">
        <v>124.6</v>
      </c>
      <c r="W192" s="1">
        <v>131.8</v>
      </c>
      <c r="X192" s="1">
        <v>131.3</v>
      </c>
      <c r="Y192" s="1">
        <v>118.9</v>
      </c>
      <c r="Z192" s="1">
        <v>127.6</v>
      </c>
      <c r="AA192" s="1">
        <v>139.7</v>
      </c>
      <c r="AB192" s="1">
        <v>127.6</v>
      </c>
      <c r="AC192" s="1">
        <v>128.2</v>
      </c>
      <c r="AD192" s="1">
        <v>134.8</v>
      </c>
    </row>
    <row r="193" ht="14.25" customHeight="1">
      <c r="A193" s="1" t="s">
        <v>34</v>
      </c>
      <c r="B193" s="1">
        <v>2018.0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121.0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138.2</v>
      </c>
      <c r="N193" s="1">
        <v>129.6</v>
      </c>
      <c r="O193" s="1">
        <v>151.2</v>
      </c>
      <c r="P193" s="1">
        <v>137.5</v>
      </c>
      <c r="Q193" s="1">
        <v>156.9</v>
      </c>
      <c r="R193" s="1">
        <v>145.3</v>
      </c>
      <c r="S193" s="1">
        <v>136.7</v>
      </c>
      <c r="T193" s="1">
        <v>144.0</v>
      </c>
      <c r="U193" s="1">
        <v>142.9</v>
      </c>
      <c r="V193" s="1">
        <v>136.5</v>
      </c>
      <c r="W193" s="1">
        <v>136.6</v>
      </c>
      <c r="X193" s="1">
        <v>135.2</v>
      </c>
      <c r="Y193" s="1">
        <v>121.9</v>
      </c>
      <c r="Z193" s="1">
        <v>131.3</v>
      </c>
      <c r="AA193" s="1">
        <v>141.4</v>
      </c>
      <c r="AB193" s="1">
        <v>129.2</v>
      </c>
      <c r="AC193" s="1">
        <v>131.3</v>
      </c>
      <c r="AD193" s="1">
        <v>137.1</v>
      </c>
    </row>
    <row r="194" ht="14.25" customHeight="1">
      <c r="A194" s="1" t="s">
        <v>30</v>
      </c>
      <c r="B194" s="1">
        <v>2018.0</v>
      </c>
      <c r="C194" s="1" t="s">
        <v>38</v>
      </c>
      <c r="D194" s="1">
        <v>137.4</v>
      </c>
      <c r="E194" s="1">
        <v>145.7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</v>
      </c>
      <c r="K194" s="1">
        <v>127.2</v>
      </c>
      <c r="L194" s="1">
        <v>111.8</v>
      </c>
      <c r="M194" s="1">
        <v>137.4</v>
      </c>
      <c r="N194" s="1">
        <v>132.2</v>
      </c>
      <c r="O194" s="1">
        <v>154.3</v>
      </c>
      <c r="P194" s="1">
        <v>139.1</v>
      </c>
      <c r="Q194" s="1">
        <v>157.0</v>
      </c>
      <c r="R194" s="1">
        <v>150.8</v>
      </c>
      <c r="S194" s="1">
        <v>144.1</v>
      </c>
      <c r="T194" s="1">
        <v>149.8</v>
      </c>
      <c r="U194" s="1" t="s">
        <v>32</v>
      </c>
      <c r="V194" s="1">
        <v>144.3</v>
      </c>
      <c r="W194" s="1">
        <v>141.8</v>
      </c>
      <c r="X194" s="1">
        <v>138.4</v>
      </c>
      <c r="Y194" s="1">
        <v>126.4</v>
      </c>
      <c r="Z194" s="1">
        <v>136.8</v>
      </c>
      <c r="AA194" s="1">
        <v>144.4</v>
      </c>
      <c r="AB194" s="1">
        <v>131.2</v>
      </c>
      <c r="AC194" s="1">
        <v>135.1</v>
      </c>
      <c r="AD194" s="1">
        <v>139.8</v>
      </c>
    </row>
    <row r="195" ht="14.25" customHeight="1">
      <c r="A195" s="1" t="s">
        <v>33</v>
      </c>
      <c r="B195" s="1">
        <v>2018.0</v>
      </c>
      <c r="C195" s="1" t="s">
        <v>38</v>
      </c>
      <c r="D195" s="1">
        <v>135.0</v>
      </c>
      <c r="E195" s="1">
        <v>148.2</v>
      </c>
      <c r="F195" s="1">
        <v>130.5</v>
      </c>
      <c r="G195" s="1">
        <v>140.7</v>
      </c>
      <c r="H195" s="1">
        <v>116.4</v>
      </c>
      <c r="I195" s="1">
        <v>151.3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148.7</v>
      </c>
      <c r="P195" s="1">
        <v>136.4</v>
      </c>
      <c r="Q195" s="1">
        <v>160.3</v>
      </c>
      <c r="R195" s="1">
        <v>138.6</v>
      </c>
      <c r="S195" s="1">
        <v>127.9</v>
      </c>
      <c r="T195" s="1">
        <v>137.0</v>
      </c>
      <c r="U195" s="1">
        <v>143.2</v>
      </c>
      <c r="V195" s="1">
        <v>124.7</v>
      </c>
      <c r="W195" s="1">
        <v>132.5</v>
      </c>
      <c r="X195" s="1">
        <v>132.0</v>
      </c>
      <c r="Y195" s="1">
        <v>119.8</v>
      </c>
      <c r="Z195" s="1">
        <v>128.0</v>
      </c>
      <c r="AA195" s="1">
        <v>140.4</v>
      </c>
      <c r="AB195" s="1">
        <v>128.1</v>
      </c>
      <c r="AC195" s="1">
        <v>128.9</v>
      </c>
      <c r="AD195" s="1">
        <v>135.4</v>
      </c>
    </row>
    <row r="196" ht="14.25" customHeight="1">
      <c r="A196" s="1" t="s">
        <v>34</v>
      </c>
      <c r="B196" s="1">
        <v>2018.0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121.0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151.7</v>
      </c>
      <c r="P196" s="1">
        <v>138.1</v>
      </c>
      <c r="Q196" s="1">
        <v>157.9</v>
      </c>
      <c r="R196" s="1">
        <v>146.0</v>
      </c>
      <c r="S196" s="1">
        <v>137.4</v>
      </c>
      <c r="T196" s="1">
        <v>144.7</v>
      </c>
      <c r="U196" s="1">
        <v>143.2</v>
      </c>
      <c r="V196" s="1">
        <v>136.9</v>
      </c>
      <c r="W196" s="1">
        <v>137.4</v>
      </c>
      <c r="X196" s="1">
        <v>136.0</v>
      </c>
      <c r="Y196" s="1">
        <v>122.9</v>
      </c>
      <c r="Z196" s="1">
        <v>131.8</v>
      </c>
      <c r="AA196" s="1">
        <v>142.1</v>
      </c>
      <c r="AB196" s="1">
        <v>129.9</v>
      </c>
      <c r="AC196" s="1">
        <v>132.1</v>
      </c>
      <c r="AD196" s="1">
        <v>137.8</v>
      </c>
    </row>
    <row r="197" ht="14.25" customHeight="1">
      <c r="A197" s="1" t="s">
        <v>30</v>
      </c>
      <c r="B197" s="1">
        <v>2018.0</v>
      </c>
      <c r="C197" s="1" t="s">
        <v>39</v>
      </c>
      <c r="D197" s="1">
        <v>137.6</v>
      </c>
      <c r="E197" s="1">
        <v>148.1</v>
      </c>
      <c r="F197" s="1">
        <v>136.7</v>
      </c>
      <c r="G197" s="1">
        <v>143.2</v>
      </c>
      <c r="H197" s="1">
        <v>124.0</v>
      </c>
      <c r="I197" s="1">
        <v>154.1</v>
      </c>
      <c r="J197" s="1">
        <v>143.5</v>
      </c>
      <c r="K197" s="1">
        <v>126.0</v>
      </c>
      <c r="L197" s="1">
        <v>112.4</v>
      </c>
      <c r="M197" s="1">
        <v>137.6</v>
      </c>
      <c r="N197" s="1">
        <v>132.8</v>
      </c>
      <c r="O197" s="1">
        <v>154.3</v>
      </c>
      <c r="P197" s="1">
        <v>140.0</v>
      </c>
      <c r="Q197" s="1">
        <v>157.3</v>
      </c>
      <c r="R197" s="1">
        <v>151.3</v>
      </c>
      <c r="S197" s="1">
        <v>144.7</v>
      </c>
      <c r="T197" s="1">
        <v>150.3</v>
      </c>
      <c r="U197" s="1" t="s">
        <v>32</v>
      </c>
      <c r="V197" s="1">
        <v>145.1</v>
      </c>
      <c r="W197" s="1">
        <v>142.2</v>
      </c>
      <c r="X197" s="1">
        <v>138.4</v>
      </c>
      <c r="Y197" s="1">
        <v>127.4</v>
      </c>
      <c r="Z197" s="1">
        <v>137.8</v>
      </c>
      <c r="AA197" s="1">
        <v>145.1</v>
      </c>
      <c r="AB197" s="1">
        <v>131.4</v>
      </c>
      <c r="AC197" s="1">
        <v>135.6</v>
      </c>
      <c r="AD197" s="1">
        <v>140.5</v>
      </c>
    </row>
    <row r="198" ht="14.25" customHeight="1">
      <c r="A198" s="1" t="s">
        <v>33</v>
      </c>
      <c r="B198" s="1">
        <v>2018.0</v>
      </c>
      <c r="C198" s="1" t="s">
        <v>39</v>
      </c>
      <c r="D198" s="1">
        <v>135.3</v>
      </c>
      <c r="E198" s="1">
        <v>149.7</v>
      </c>
      <c r="F198" s="1">
        <v>133.9</v>
      </c>
      <c r="G198" s="1">
        <v>140.8</v>
      </c>
      <c r="H198" s="1">
        <v>116.6</v>
      </c>
      <c r="I198" s="1">
        <v>152.2</v>
      </c>
      <c r="J198" s="1">
        <v>144.0</v>
      </c>
      <c r="K198" s="1">
        <v>112.3</v>
      </c>
      <c r="L198" s="1">
        <v>108.4</v>
      </c>
      <c r="M198" s="1">
        <v>140.0</v>
      </c>
      <c r="N198" s="1">
        <v>126.7</v>
      </c>
      <c r="O198" s="1">
        <v>149.0</v>
      </c>
      <c r="P198" s="1">
        <v>138.4</v>
      </c>
      <c r="Q198" s="1">
        <v>161.0</v>
      </c>
      <c r="R198" s="1">
        <v>138.9</v>
      </c>
      <c r="S198" s="1">
        <v>128.7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141.2</v>
      </c>
      <c r="AB198" s="1">
        <v>128.2</v>
      </c>
      <c r="AC198" s="1">
        <v>129.5</v>
      </c>
      <c r="AD198" s="1">
        <v>136.2</v>
      </c>
    </row>
    <row r="199" ht="14.25" customHeight="1">
      <c r="A199" s="1" t="s">
        <v>34</v>
      </c>
      <c r="B199" s="1">
        <v>2018.0</v>
      </c>
      <c r="C199" s="1" t="s">
        <v>39</v>
      </c>
      <c r="D199" s="1">
        <v>136.9</v>
      </c>
      <c r="E199" s="1">
        <v>148.7</v>
      </c>
      <c r="F199" s="1">
        <v>135.6</v>
      </c>
      <c r="G199" s="1">
        <v>142.3</v>
      </c>
      <c r="H199" s="1">
        <v>121.3</v>
      </c>
      <c r="I199" s="1">
        <v>153.2</v>
      </c>
      <c r="J199" s="1">
        <v>143.7</v>
      </c>
      <c r="K199" s="1">
        <v>121.4</v>
      </c>
      <c r="L199" s="1">
        <v>111.1</v>
      </c>
      <c r="M199" s="1">
        <v>138.4</v>
      </c>
      <c r="N199" s="1">
        <v>130.3</v>
      </c>
      <c r="O199" s="1">
        <v>151.8</v>
      </c>
      <c r="P199" s="1">
        <v>139.4</v>
      </c>
      <c r="Q199" s="1">
        <v>158.3</v>
      </c>
      <c r="R199" s="1">
        <v>146.4</v>
      </c>
      <c r="S199" s="1">
        <v>138.1</v>
      </c>
      <c r="T199" s="1">
        <v>145.2</v>
      </c>
      <c r="U199" s="1">
        <v>142.5</v>
      </c>
      <c r="V199" s="1">
        <v>138.1</v>
      </c>
      <c r="W199" s="1">
        <v>137.9</v>
      </c>
      <c r="X199" s="1">
        <v>136.2</v>
      </c>
      <c r="Y199" s="1">
        <v>123.7</v>
      </c>
      <c r="Z199" s="1">
        <v>132.6</v>
      </c>
      <c r="AA199" s="1">
        <v>142.8</v>
      </c>
      <c r="AB199" s="1">
        <v>130.1</v>
      </c>
      <c r="AC199" s="1">
        <v>132.6</v>
      </c>
      <c r="AD199" s="1">
        <v>138.5</v>
      </c>
    </row>
    <row r="200" ht="14.25" customHeight="1">
      <c r="A200" s="1" t="s">
        <v>30</v>
      </c>
      <c r="B200" s="1">
        <v>2018.0</v>
      </c>
      <c r="C200" s="1" t="s">
        <v>40</v>
      </c>
      <c r="D200" s="1">
        <v>138.4</v>
      </c>
      <c r="E200" s="1">
        <v>149.3</v>
      </c>
      <c r="F200" s="1">
        <v>139.3</v>
      </c>
      <c r="G200" s="1">
        <v>143.4</v>
      </c>
      <c r="H200" s="1">
        <v>124.1</v>
      </c>
      <c r="I200" s="1">
        <v>153.3</v>
      </c>
      <c r="J200" s="1">
        <v>154.2</v>
      </c>
      <c r="K200" s="1">
        <v>126.4</v>
      </c>
      <c r="L200" s="1">
        <v>114.3</v>
      </c>
      <c r="M200" s="1">
        <v>138.2</v>
      </c>
      <c r="N200" s="1">
        <v>132.8</v>
      </c>
      <c r="O200" s="1">
        <v>154.8</v>
      </c>
      <c r="P200" s="1">
        <v>142.0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</v>
      </c>
      <c r="W200" s="1">
        <v>143.1</v>
      </c>
      <c r="X200" s="1">
        <v>139.0</v>
      </c>
      <c r="Y200" s="1">
        <v>127.5</v>
      </c>
      <c r="Z200" s="1">
        <v>138.4</v>
      </c>
      <c r="AA200" s="1">
        <v>145.8</v>
      </c>
      <c r="AB200" s="1">
        <v>131.4</v>
      </c>
      <c r="AC200" s="1">
        <v>136.0</v>
      </c>
      <c r="AD200" s="1">
        <v>141.8</v>
      </c>
    </row>
    <row r="201" ht="14.25" customHeight="1">
      <c r="A201" s="1" t="s">
        <v>33</v>
      </c>
      <c r="B201" s="1">
        <v>2018.0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141.0</v>
      </c>
      <c r="H201" s="1">
        <v>116.7</v>
      </c>
      <c r="I201" s="1">
        <v>149.7</v>
      </c>
      <c r="J201" s="1">
        <v>159.2</v>
      </c>
      <c r="K201" s="1">
        <v>112.6</v>
      </c>
      <c r="L201" s="1">
        <v>111.8</v>
      </c>
      <c r="M201" s="1">
        <v>140.3</v>
      </c>
      <c r="N201" s="1">
        <v>126.8</v>
      </c>
      <c r="O201" s="1">
        <v>149.4</v>
      </c>
      <c r="P201" s="1">
        <v>140.3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129.0</v>
      </c>
      <c r="AA201" s="1">
        <v>144.0</v>
      </c>
      <c r="AB201" s="1">
        <v>128.2</v>
      </c>
      <c r="AC201" s="1">
        <v>130.2</v>
      </c>
      <c r="AD201" s="1">
        <v>137.5</v>
      </c>
    </row>
    <row r="202" ht="14.25" customHeight="1">
      <c r="A202" s="1" t="s">
        <v>34</v>
      </c>
      <c r="B202" s="1">
        <v>2018.0</v>
      </c>
      <c r="C202" s="1" t="s">
        <v>40</v>
      </c>
      <c r="D202" s="1">
        <v>137.5</v>
      </c>
      <c r="E202" s="1">
        <v>149.1</v>
      </c>
      <c r="F202" s="1">
        <v>139.2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</v>
      </c>
      <c r="O202" s="1">
        <v>152.3</v>
      </c>
      <c r="P202" s="1">
        <v>141.4</v>
      </c>
      <c r="Q202" s="1">
        <v>157.5</v>
      </c>
      <c r="R202" s="1">
        <v>146.8</v>
      </c>
      <c r="S202" s="1">
        <v>138.4</v>
      </c>
      <c r="T202" s="1">
        <v>145.6</v>
      </c>
      <c r="U202" s="1">
        <v>143.6</v>
      </c>
      <c r="V202" s="1">
        <v>139.7</v>
      </c>
      <c r="W202" s="1">
        <v>138.6</v>
      </c>
      <c r="X202" s="1">
        <v>137.0</v>
      </c>
      <c r="Y202" s="1">
        <v>123.6</v>
      </c>
      <c r="Z202" s="1">
        <v>133.1</v>
      </c>
      <c r="AA202" s="1">
        <v>144.7</v>
      </c>
      <c r="AB202" s="1">
        <v>130.1</v>
      </c>
      <c r="AC202" s="1">
        <v>133.2</v>
      </c>
      <c r="AD202" s="1">
        <v>139.8</v>
      </c>
    </row>
    <row r="203" ht="14.25" customHeight="1">
      <c r="A203" s="1" t="s">
        <v>30</v>
      </c>
      <c r="B203" s="1">
        <v>2018.0</v>
      </c>
      <c r="C203" s="1" t="s">
        <v>41</v>
      </c>
      <c r="D203" s="1">
        <v>139.2</v>
      </c>
      <c r="E203" s="1">
        <v>148.8</v>
      </c>
      <c r="F203" s="1">
        <v>139.1</v>
      </c>
      <c r="G203" s="1">
        <v>143.5</v>
      </c>
      <c r="H203" s="1">
        <v>125.0</v>
      </c>
      <c r="I203" s="1">
        <v>154.4</v>
      </c>
      <c r="J203" s="1">
        <v>156.3</v>
      </c>
      <c r="K203" s="1">
        <v>126.8</v>
      </c>
      <c r="L203" s="1">
        <v>115.4</v>
      </c>
      <c r="M203" s="1">
        <v>138.6</v>
      </c>
      <c r="N203" s="1">
        <v>133.8</v>
      </c>
      <c r="O203" s="1">
        <v>155.2</v>
      </c>
      <c r="P203" s="1">
        <v>142.7</v>
      </c>
      <c r="Q203" s="1">
        <v>156.4</v>
      </c>
      <c r="R203" s="1">
        <v>152.1</v>
      </c>
      <c r="S203" s="1">
        <v>145.8</v>
      </c>
      <c r="T203" s="1">
        <v>151.3</v>
      </c>
      <c r="U203" s="1" t="s">
        <v>32</v>
      </c>
      <c r="V203" s="1">
        <v>147.7</v>
      </c>
      <c r="W203" s="1">
        <v>143.8</v>
      </c>
      <c r="X203" s="1">
        <v>139.4</v>
      </c>
      <c r="Y203" s="1">
        <v>128.3</v>
      </c>
      <c r="Z203" s="1">
        <v>138.6</v>
      </c>
      <c r="AA203" s="1">
        <v>146.9</v>
      </c>
      <c r="AB203" s="1">
        <v>131.3</v>
      </c>
      <c r="AC203" s="1">
        <v>136.6</v>
      </c>
      <c r="AD203" s="1">
        <v>142.5</v>
      </c>
    </row>
    <row r="204" ht="14.25" customHeight="1">
      <c r="A204" s="1" t="s">
        <v>33</v>
      </c>
      <c r="B204" s="1">
        <v>2018.0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141.2</v>
      </c>
      <c r="H204" s="1">
        <v>117.4</v>
      </c>
      <c r="I204" s="1">
        <v>146.3</v>
      </c>
      <c r="J204" s="1">
        <v>157.3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140.0</v>
      </c>
      <c r="S204" s="1">
        <v>129.0</v>
      </c>
      <c r="T204" s="1">
        <v>138.3</v>
      </c>
      <c r="U204" s="1">
        <v>144.6</v>
      </c>
      <c r="V204" s="1">
        <v>129.8</v>
      </c>
      <c r="W204" s="1">
        <v>134.4</v>
      </c>
      <c r="X204" s="1">
        <v>134.9</v>
      </c>
      <c r="Y204" s="1">
        <v>120.7</v>
      </c>
      <c r="Z204" s="1">
        <v>129.8</v>
      </c>
      <c r="AA204" s="1">
        <v>145.3</v>
      </c>
      <c r="AB204" s="1">
        <v>128.3</v>
      </c>
      <c r="AC204" s="1">
        <v>131.0</v>
      </c>
      <c r="AD204" s="1">
        <v>138.0</v>
      </c>
    </row>
    <row r="205" ht="14.25" customHeight="1">
      <c r="A205" s="1" t="s">
        <v>34</v>
      </c>
      <c r="B205" s="1">
        <v>2018.0</v>
      </c>
      <c r="C205" s="1" t="s">
        <v>41</v>
      </c>
      <c r="D205" s="1">
        <v>138.3</v>
      </c>
      <c r="E205" s="1">
        <v>148.0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153.0</v>
      </c>
      <c r="P205" s="1">
        <v>141.7</v>
      </c>
      <c r="Q205" s="1">
        <v>157.9</v>
      </c>
      <c r="R205" s="1">
        <v>147.3</v>
      </c>
      <c r="S205" s="1">
        <v>138.8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137.7</v>
      </c>
      <c r="Y205" s="1">
        <v>124.3</v>
      </c>
      <c r="Z205" s="1">
        <v>133.6</v>
      </c>
      <c r="AA205" s="1">
        <v>146.0</v>
      </c>
      <c r="AB205" s="1">
        <v>130.1</v>
      </c>
      <c r="AC205" s="1">
        <v>133.9</v>
      </c>
      <c r="AD205" s="1">
        <v>140.4</v>
      </c>
    </row>
    <row r="206" ht="14.25" customHeight="1">
      <c r="A206" s="1" t="s">
        <v>30</v>
      </c>
      <c r="B206" s="1">
        <v>2018.0</v>
      </c>
      <c r="C206" s="1" t="s">
        <v>42</v>
      </c>
      <c r="D206" s="1">
        <v>139.4</v>
      </c>
      <c r="E206" s="1">
        <v>147.2</v>
      </c>
      <c r="F206" s="1">
        <v>136.6</v>
      </c>
      <c r="G206" s="1">
        <v>143.7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138.7</v>
      </c>
      <c r="N206" s="1">
        <v>133.1</v>
      </c>
      <c r="O206" s="1">
        <v>155.9</v>
      </c>
      <c r="P206" s="1">
        <v>141.3</v>
      </c>
      <c r="Q206" s="1">
        <v>157.7</v>
      </c>
      <c r="R206" s="1">
        <v>152.1</v>
      </c>
      <c r="S206" s="1">
        <v>146.1</v>
      </c>
      <c r="T206" s="1">
        <v>151.3</v>
      </c>
      <c r="U206" s="1" t="s">
        <v>32</v>
      </c>
      <c r="V206" s="1">
        <v>149.0</v>
      </c>
      <c r="W206" s="1">
        <v>144.0</v>
      </c>
      <c r="X206" s="1">
        <v>140.0</v>
      </c>
      <c r="Y206" s="1">
        <v>129.9</v>
      </c>
      <c r="Z206" s="1">
        <v>140.0</v>
      </c>
      <c r="AA206" s="1">
        <v>147.6</v>
      </c>
      <c r="AB206" s="1">
        <v>132.0</v>
      </c>
      <c r="AC206" s="1">
        <v>137.4</v>
      </c>
      <c r="AD206" s="1">
        <v>142.1</v>
      </c>
    </row>
    <row r="207" ht="14.25" customHeight="1">
      <c r="A207" s="1" t="s">
        <v>33</v>
      </c>
      <c r="B207" s="1">
        <v>2018.0</v>
      </c>
      <c r="C207" s="1" t="s">
        <v>42</v>
      </c>
      <c r="D207" s="1">
        <v>137.0</v>
      </c>
      <c r="E207" s="1">
        <v>143.1</v>
      </c>
      <c r="F207" s="1">
        <v>132.8</v>
      </c>
      <c r="G207" s="1">
        <v>141.5</v>
      </c>
      <c r="H207" s="1">
        <v>117.8</v>
      </c>
      <c r="I207" s="1">
        <v>140.0</v>
      </c>
      <c r="J207" s="1">
        <v>151.3</v>
      </c>
      <c r="K207" s="1">
        <v>113.5</v>
      </c>
      <c r="L207" s="1">
        <v>112.3</v>
      </c>
      <c r="M207" s="1">
        <v>141.2</v>
      </c>
      <c r="N207" s="1">
        <v>127.7</v>
      </c>
      <c r="O207" s="1">
        <v>151.3</v>
      </c>
      <c r="P207" s="1">
        <v>138.9</v>
      </c>
      <c r="Q207" s="1">
        <v>163.3</v>
      </c>
      <c r="R207" s="1">
        <v>140.8</v>
      </c>
      <c r="S207" s="1">
        <v>129.3</v>
      </c>
      <c r="T207" s="1">
        <v>139.1</v>
      </c>
      <c r="U207" s="1">
        <v>145.3</v>
      </c>
      <c r="V207" s="1">
        <v>131.2</v>
      </c>
      <c r="W207" s="1">
        <v>134.9</v>
      </c>
      <c r="X207" s="1">
        <v>135.7</v>
      </c>
      <c r="Y207" s="1">
        <v>122.5</v>
      </c>
      <c r="Z207" s="1">
        <v>130.2</v>
      </c>
      <c r="AA207" s="1">
        <v>145.2</v>
      </c>
      <c r="AB207" s="1">
        <v>129.3</v>
      </c>
      <c r="AC207" s="1">
        <v>131.9</v>
      </c>
      <c r="AD207" s="1">
        <v>138.1</v>
      </c>
    </row>
    <row r="208" ht="14.25" customHeight="1">
      <c r="A208" s="1" t="s">
        <v>34</v>
      </c>
      <c r="B208" s="1">
        <v>2018.0</v>
      </c>
      <c r="C208" s="1" t="s">
        <v>42</v>
      </c>
      <c r="D208" s="1">
        <v>138.6</v>
      </c>
      <c r="E208" s="1">
        <v>145.8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150.0</v>
      </c>
      <c r="K208" s="1">
        <v>121.4</v>
      </c>
      <c r="L208" s="1">
        <v>113.7</v>
      </c>
      <c r="M208" s="1">
        <v>139.5</v>
      </c>
      <c r="N208" s="1">
        <v>130.8</v>
      </c>
      <c r="O208" s="1">
        <v>153.8</v>
      </c>
      <c r="P208" s="1">
        <v>140.4</v>
      </c>
      <c r="Q208" s="1">
        <v>159.2</v>
      </c>
      <c r="R208" s="1">
        <v>147.7</v>
      </c>
      <c r="S208" s="1">
        <v>139.1</v>
      </c>
      <c r="T208" s="1">
        <v>146.5</v>
      </c>
      <c r="U208" s="1">
        <v>145.3</v>
      </c>
      <c r="V208" s="1">
        <v>142.3</v>
      </c>
      <c r="W208" s="1">
        <v>139.7</v>
      </c>
      <c r="X208" s="1">
        <v>138.4</v>
      </c>
      <c r="Y208" s="1">
        <v>126.0</v>
      </c>
      <c r="Z208" s="1">
        <v>134.5</v>
      </c>
      <c r="AA208" s="1">
        <v>146.2</v>
      </c>
      <c r="AB208" s="1">
        <v>130.9</v>
      </c>
      <c r="AC208" s="1">
        <v>134.7</v>
      </c>
      <c r="AD208" s="1">
        <v>140.2</v>
      </c>
    </row>
    <row r="209" ht="14.25" customHeight="1">
      <c r="A209" s="1" t="s">
        <v>30</v>
      </c>
      <c r="B209" s="1">
        <v>2018.0</v>
      </c>
      <c r="C209" s="1" t="s">
        <v>43</v>
      </c>
      <c r="D209" s="1">
        <v>139.3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155.2</v>
      </c>
      <c r="P209" s="1">
        <v>140.2</v>
      </c>
      <c r="Q209" s="1">
        <v>159.6</v>
      </c>
      <c r="R209" s="1">
        <v>150.7</v>
      </c>
      <c r="S209" s="1">
        <v>144.5</v>
      </c>
      <c r="T209" s="1">
        <v>149.8</v>
      </c>
      <c r="U209" s="1" t="s">
        <v>32</v>
      </c>
      <c r="V209" s="1">
        <v>149.7</v>
      </c>
      <c r="W209" s="1">
        <v>147.5</v>
      </c>
      <c r="X209" s="1">
        <v>144.8</v>
      </c>
      <c r="Y209" s="1">
        <v>130.8</v>
      </c>
      <c r="Z209" s="1">
        <v>140.1</v>
      </c>
      <c r="AA209" s="1">
        <v>148.0</v>
      </c>
      <c r="AB209" s="1">
        <v>134.4</v>
      </c>
      <c r="AC209" s="1">
        <v>139.8</v>
      </c>
      <c r="AD209" s="1">
        <v>142.2</v>
      </c>
    </row>
    <row r="210" ht="14.25" customHeight="1">
      <c r="A210" s="1" t="s">
        <v>33</v>
      </c>
      <c r="B210" s="1">
        <v>2018.0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118.0</v>
      </c>
      <c r="I210" s="1">
        <v>139.5</v>
      </c>
      <c r="J210" s="1">
        <v>153.0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152.0</v>
      </c>
      <c r="P210" s="1">
        <v>139.4</v>
      </c>
      <c r="Q210" s="1">
        <v>164.0</v>
      </c>
      <c r="R210" s="1">
        <v>141.5</v>
      </c>
      <c r="S210" s="1">
        <v>129.8</v>
      </c>
      <c r="T210" s="1">
        <v>139.7</v>
      </c>
      <c r="U210" s="1">
        <v>146.3</v>
      </c>
      <c r="V210" s="1">
        <v>133.4</v>
      </c>
      <c r="W210" s="1">
        <v>135.1</v>
      </c>
      <c r="X210" s="1">
        <v>136.2</v>
      </c>
      <c r="Y210" s="1">
        <v>123.3</v>
      </c>
      <c r="Z210" s="1">
        <v>130.7</v>
      </c>
      <c r="AA210" s="1">
        <v>145.5</v>
      </c>
      <c r="AB210" s="1">
        <v>130.4</v>
      </c>
      <c r="AC210" s="1">
        <v>132.5</v>
      </c>
      <c r="AD210" s="1">
        <v>138.9</v>
      </c>
    </row>
    <row r="211" ht="14.25" customHeight="1">
      <c r="A211" s="1" t="s">
        <v>34</v>
      </c>
      <c r="B211" s="1">
        <v>2018.0</v>
      </c>
      <c r="C211" s="1" t="s">
        <v>43</v>
      </c>
      <c r="D211" s="1">
        <v>137.4</v>
      </c>
      <c r="E211" s="1">
        <v>149.5</v>
      </c>
      <c r="F211" s="1">
        <v>137.3</v>
      </c>
      <c r="G211" s="1">
        <v>141.9</v>
      </c>
      <c r="H211" s="1">
        <v>121.1</v>
      </c>
      <c r="I211" s="1">
        <v>142.5</v>
      </c>
      <c r="J211" s="1">
        <v>146.7</v>
      </c>
      <c r="K211" s="1">
        <v>119.1</v>
      </c>
      <c r="L211" s="1">
        <v>111.9</v>
      </c>
      <c r="M211" s="1">
        <v>141.0</v>
      </c>
      <c r="N211" s="1">
        <v>133.6</v>
      </c>
      <c r="O211" s="1">
        <v>154.5</v>
      </c>
      <c r="P211" s="1">
        <v>139.7</v>
      </c>
      <c r="Q211" s="1">
        <v>162.6</v>
      </c>
      <c r="R211" s="1">
        <v>148.0</v>
      </c>
      <c r="S211" s="1">
        <v>139.2</v>
      </c>
      <c r="T211" s="1">
        <v>146.8</v>
      </c>
      <c r="U211" s="1">
        <v>146.9</v>
      </c>
      <c r="V211" s="1">
        <v>145.3</v>
      </c>
      <c r="W211" s="1">
        <v>142.2</v>
      </c>
      <c r="X211" s="1">
        <v>142.1</v>
      </c>
      <c r="Y211" s="1">
        <v>125.5</v>
      </c>
      <c r="Z211" s="1">
        <v>136.5</v>
      </c>
      <c r="AA211" s="1">
        <v>147.8</v>
      </c>
      <c r="AB211" s="1">
        <v>132.0</v>
      </c>
      <c r="AC211" s="1">
        <v>136.3</v>
      </c>
      <c r="AD211" s="1">
        <v>140.8</v>
      </c>
    </row>
    <row r="212" ht="14.25" customHeight="1">
      <c r="A212" s="1" t="s">
        <v>30</v>
      </c>
      <c r="B212" s="1">
        <v>2018.0</v>
      </c>
      <c r="C212" s="1" t="s">
        <v>45</v>
      </c>
      <c r="D212" s="1">
        <v>137.1</v>
      </c>
      <c r="E212" s="1">
        <v>150.8</v>
      </c>
      <c r="F212" s="1">
        <v>136.7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121.0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140.0</v>
      </c>
      <c r="Q212" s="1">
        <v>161.9</v>
      </c>
      <c r="R212" s="1">
        <v>151.7</v>
      </c>
      <c r="S212" s="1">
        <v>145.5</v>
      </c>
      <c r="T212" s="1">
        <v>150.8</v>
      </c>
      <c r="U212" s="1" t="s">
        <v>32</v>
      </c>
      <c r="V212" s="1">
        <v>150.3</v>
      </c>
      <c r="W212" s="1">
        <v>148.0</v>
      </c>
      <c r="X212" s="1">
        <v>145.4</v>
      </c>
      <c r="Y212" s="1">
        <v>130.3</v>
      </c>
      <c r="Z212" s="1">
        <v>143.1</v>
      </c>
      <c r="AA212" s="1">
        <v>150.2</v>
      </c>
      <c r="AB212" s="1">
        <v>133.1</v>
      </c>
      <c r="AC212" s="1">
        <v>140.1</v>
      </c>
      <c r="AD212" s="1">
        <v>142.4</v>
      </c>
    </row>
    <row r="213" ht="14.25" customHeight="1">
      <c r="A213" s="1" t="s">
        <v>33</v>
      </c>
      <c r="B213" s="1">
        <v>2018.0</v>
      </c>
      <c r="C213" s="1" t="s">
        <v>45</v>
      </c>
      <c r="D213" s="1">
        <v>138.1</v>
      </c>
      <c r="E213" s="1">
        <v>146.3</v>
      </c>
      <c r="F213" s="1">
        <v>137.8</v>
      </c>
      <c r="G213" s="1">
        <v>141.6</v>
      </c>
      <c r="H213" s="1">
        <v>118.1</v>
      </c>
      <c r="I213" s="1">
        <v>141.5</v>
      </c>
      <c r="J213" s="1">
        <v>145.2</v>
      </c>
      <c r="K213" s="1">
        <v>115.3</v>
      </c>
      <c r="L213" s="1">
        <v>112.5</v>
      </c>
      <c r="M213" s="1">
        <v>141.4</v>
      </c>
      <c r="N213" s="1">
        <v>128.0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130.2</v>
      </c>
      <c r="T213" s="1">
        <v>140.5</v>
      </c>
      <c r="U213" s="1">
        <v>146.9</v>
      </c>
      <c r="V213" s="1">
        <v>136.7</v>
      </c>
      <c r="W213" s="1">
        <v>135.8</v>
      </c>
      <c r="X213" s="1">
        <v>136.8</v>
      </c>
      <c r="Y213" s="1">
        <v>121.2</v>
      </c>
      <c r="Z213" s="1">
        <v>131.3</v>
      </c>
      <c r="AA213" s="1">
        <v>146.1</v>
      </c>
      <c r="AB213" s="1">
        <v>130.5</v>
      </c>
      <c r="AC213" s="1">
        <v>132.2</v>
      </c>
      <c r="AD213" s="1">
        <v>139.0</v>
      </c>
    </row>
    <row r="214" ht="14.25" customHeight="1">
      <c r="A214" s="1" t="s">
        <v>34</v>
      </c>
      <c r="B214" s="1">
        <v>2018.0</v>
      </c>
      <c r="C214" s="1" t="s">
        <v>45</v>
      </c>
      <c r="D214" s="1">
        <v>137.4</v>
      </c>
      <c r="E214" s="1">
        <v>149.2</v>
      </c>
      <c r="F214" s="1">
        <v>137.1</v>
      </c>
      <c r="G214" s="1">
        <v>141.8</v>
      </c>
      <c r="H214" s="1">
        <v>121.1</v>
      </c>
      <c r="I214" s="1">
        <v>142.8</v>
      </c>
      <c r="J214" s="1">
        <v>146.7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139.7</v>
      </c>
      <c r="Q214" s="1">
        <v>162.6</v>
      </c>
      <c r="R214" s="1">
        <v>148.0</v>
      </c>
      <c r="S214" s="1">
        <v>139.1</v>
      </c>
      <c r="T214" s="1">
        <v>146.7</v>
      </c>
      <c r="U214" s="1">
        <v>146.9</v>
      </c>
      <c r="V214" s="1">
        <v>145.1</v>
      </c>
      <c r="W214" s="1">
        <v>142.2</v>
      </c>
      <c r="X214" s="1">
        <v>142.1</v>
      </c>
      <c r="Y214" s="1">
        <v>125.5</v>
      </c>
      <c r="Z214" s="1">
        <v>136.5</v>
      </c>
      <c r="AA214" s="1">
        <v>147.8</v>
      </c>
      <c r="AB214" s="1">
        <v>132.0</v>
      </c>
      <c r="AC214" s="1">
        <v>136.3</v>
      </c>
      <c r="AD214" s="1">
        <v>140.8</v>
      </c>
    </row>
    <row r="215" ht="14.25" customHeight="1">
      <c r="A215" s="1" t="s">
        <v>30</v>
      </c>
      <c r="B215" s="1">
        <v>2018.0</v>
      </c>
      <c r="C215" s="1" t="s">
        <v>46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140.2</v>
      </c>
      <c r="J215" s="1">
        <v>136.6</v>
      </c>
      <c r="K215" s="1">
        <v>120.9</v>
      </c>
      <c r="L215" s="1">
        <v>109.9</v>
      </c>
      <c r="M215" s="1">
        <v>140.2</v>
      </c>
      <c r="N215" s="1">
        <v>137.8</v>
      </c>
      <c r="O215" s="1">
        <v>156.0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</v>
      </c>
      <c r="U215" s="1" t="s">
        <v>32</v>
      </c>
      <c r="V215" s="1">
        <v>149.0</v>
      </c>
      <c r="W215" s="1">
        <v>149.5</v>
      </c>
      <c r="X215" s="1">
        <v>149.6</v>
      </c>
      <c r="Y215" s="1">
        <v>128.9</v>
      </c>
      <c r="Z215" s="1">
        <v>143.3</v>
      </c>
      <c r="AA215" s="1">
        <v>155.1</v>
      </c>
      <c r="AB215" s="1">
        <v>133.2</v>
      </c>
      <c r="AC215" s="1">
        <v>141.6</v>
      </c>
      <c r="AD215" s="1">
        <v>141.9</v>
      </c>
    </row>
    <row r="216" ht="14.25" customHeight="1">
      <c r="A216" s="1" t="s">
        <v>33</v>
      </c>
      <c r="B216" s="1">
        <v>2018.0</v>
      </c>
      <c r="C216" s="1" t="s">
        <v>46</v>
      </c>
      <c r="D216" s="1">
        <v>138.5</v>
      </c>
      <c r="E216" s="1">
        <v>147.8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111.0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142.7</v>
      </c>
      <c r="S216" s="1">
        <v>130.3</v>
      </c>
      <c r="T216" s="1">
        <v>140.8</v>
      </c>
      <c r="U216" s="1">
        <v>146.5</v>
      </c>
      <c r="V216" s="1">
        <v>132.4</v>
      </c>
      <c r="W216" s="1">
        <v>136.2</v>
      </c>
      <c r="X216" s="1">
        <v>137.3</v>
      </c>
      <c r="Y216" s="1">
        <v>118.8</v>
      </c>
      <c r="Z216" s="1">
        <v>131.7</v>
      </c>
      <c r="AA216" s="1">
        <v>146.5</v>
      </c>
      <c r="AB216" s="1">
        <v>130.8</v>
      </c>
      <c r="AC216" s="1">
        <v>131.7</v>
      </c>
      <c r="AD216" s="1">
        <v>138.0</v>
      </c>
    </row>
    <row r="217" ht="14.25" customHeight="1">
      <c r="A217" s="1" t="s">
        <v>34</v>
      </c>
      <c r="B217" s="1">
        <v>2018.0</v>
      </c>
      <c r="C217" s="1" t="s">
        <v>46</v>
      </c>
      <c r="D217" s="1">
        <v>137.5</v>
      </c>
      <c r="E217" s="1">
        <v>150.5</v>
      </c>
      <c r="F217" s="1">
        <v>138.8</v>
      </c>
      <c r="G217" s="1">
        <v>142.1</v>
      </c>
      <c r="H217" s="1">
        <v>122.0</v>
      </c>
      <c r="I217" s="1">
        <v>139.4</v>
      </c>
      <c r="J217" s="1">
        <v>135.2</v>
      </c>
      <c r="K217" s="1">
        <v>119.8</v>
      </c>
      <c r="L217" s="1">
        <v>110.3</v>
      </c>
      <c r="M217" s="1">
        <v>140.6</v>
      </c>
      <c r="N217" s="1">
        <v>133.8</v>
      </c>
      <c r="O217" s="1">
        <v>154.6</v>
      </c>
      <c r="P217" s="1">
        <v>138.2</v>
      </c>
      <c r="Q217" s="1">
        <v>163.0</v>
      </c>
      <c r="R217" s="1">
        <v>148.1</v>
      </c>
      <c r="S217" s="1">
        <v>139.4</v>
      </c>
      <c r="T217" s="1">
        <v>146.8</v>
      </c>
      <c r="U217" s="1">
        <v>146.5</v>
      </c>
      <c r="V217" s="1">
        <v>142.7</v>
      </c>
      <c r="W217" s="1">
        <v>143.2</v>
      </c>
      <c r="X217" s="1">
        <v>144.9</v>
      </c>
      <c r="Y217" s="1">
        <v>123.6</v>
      </c>
      <c r="Z217" s="1">
        <v>136.8</v>
      </c>
      <c r="AA217" s="1">
        <v>150.1</v>
      </c>
      <c r="AB217" s="1">
        <v>132.2</v>
      </c>
      <c r="AC217" s="1">
        <v>136.8</v>
      </c>
      <c r="AD217" s="1">
        <v>140.1</v>
      </c>
    </row>
    <row r="218" ht="14.25" customHeight="1">
      <c r="A218" s="1" t="s">
        <v>30</v>
      </c>
      <c r="B218" s="1">
        <v>2019.0</v>
      </c>
      <c r="C218" s="1" t="s">
        <v>31</v>
      </c>
      <c r="D218" s="1">
        <v>136.6</v>
      </c>
      <c r="E218" s="1">
        <v>152.5</v>
      </c>
      <c r="F218" s="1">
        <v>138.2</v>
      </c>
      <c r="G218" s="1">
        <v>142.4</v>
      </c>
      <c r="H218" s="1">
        <v>123.9</v>
      </c>
      <c r="I218" s="1">
        <v>135.5</v>
      </c>
      <c r="J218" s="1">
        <v>131.7</v>
      </c>
      <c r="K218" s="1">
        <v>121.3</v>
      </c>
      <c r="L218" s="1">
        <v>108.4</v>
      </c>
      <c r="M218" s="1">
        <v>138.9</v>
      </c>
      <c r="N218" s="1">
        <v>137.0</v>
      </c>
      <c r="O218" s="1">
        <v>155.8</v>
      </c>
      <c r="P218" s="1">
        <v>137.4</v>
      </c>
      <c r="Q218" s="1">
        <v>162.7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146.2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155.2</v>
      </c>
      <c r="AB218" s="1">
        <v>133.5</v>
      </c>
      <c r="AC218" s="1">
        <v>141.7</v>
      </c>
      <c r="AD218" s="1">
        <v>141.0</v>
      </c>
    </row>
    <row r="219" ht="14.25" customHeight="1">
      <c r="A219" s="1" t="s">
        <v>33</v>
      </c>
      <c r="B219" s="1">
        <v>2019.0</v>
      </c>
      <c r="C219" s="1" t="s">
        <v>31</v>
      </c>
      <c r="D219" s="1">
        <v>138.3</v>
      </c>
      <c r="E219" s="1">
        <v>149.4</v>
      </c>
      <c r="F219" s="1">
        <v>143.5</v>
      </c>
      <c r="G219" s="1">
        <v>141.7</v>
      </c>
      <c r="H219" s="1">
        <v>118.1</v>
      </c>
      <c r="I219" s="1">
        <v>135.2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153.2</v>
      </c>
      <c r="P219" s="1">
        <v>137.3</v>
      </c>
      <c r="Q219" s="1">
        <v>164.7</v>
      </c>
      <c r="R219" s="1">
        <v>143.0</v>
      </c>
      <c r="S219" s="1">
        <v>130.4</v>
      </c>
      <c r="T219" s="1">
        <v>141.1</v>
      </c>
      <c r="U219" s="1">
        <v>147.7</v>
      </c>
      <c r="V219" s="1">
        <v>128.6</v>
      </c>
      <c r="W219" s="1">
        <v>136.3</v>
      </c>
      <c r="X219" s="1">
        <v>137.8</v>
      </c>
      <c r="Y219" s="1">
        <v>118.6</v>
      </c>
      <c r="Z219" s="1">
        <v>131.9</v>
      </c>
      <c r="AA219" s="1">
        <v>146.6</v>
      </c>
      <c r="AB219" s="1">
        <v>131.7</v>
      </c>
      <c r="AC219" s="1">
        <v>131.8</v>
      </c>
      <c r="AD219" s="1">
        <v>138.0</v>
      </c>
    </row>
    <row r="220" ht="14.25" customHeight="1">
      <c r="A220" s="1" t="s">
        <v>34</v>
      </c>
      <c r="B220" s="1">
        <v>2019.0</v>
      </c>
      <c r="C220" s="1" t="s">
        <v>31</v>
      </c>
      <c r="D220" s="1">
        <v>137.1</v>
      </c>
      <c r="E220" s="1">
        <v>151.4</v>
      </c>
      <c r="F220" s="1">
        <v>140.2</v>
      </c>
      <c r="G220" s="1">
        <v>142.1</v>
      </c>
      <c r="H220" s="1">
        <v>121.8</v>
      </c>
      <c r="I220" s="1">
        <v>135.4</v>
      </c>
      <c r="J220" s="1">
        <v>131.3</v>
      </c>
      <c r="K220" s="1">
        <v>120.3</v>
      </c>
      <c r="L220" s="1">
        <v>109.1</v>
      </c>
      <c r="M220" s="1">
        <v>139.4</v>
      </c>
      <c r="N220" s="1">
        <v>133.3</v>
      </c>
      <c r="O220" s="1">
        <v>154.6</v>
      </c>
      <c r="P220" s="1">
        <v>137.4</v>
      </c>
      <c r="Q220" s="1">
        <v>163.2</v>
      </c>
      <c r="R220" s="1">
        <v>147.6</v>
      </c>
      <c r="S220" s="1">
        <v>139.0</v>
      </c>
      <c r="T220" s="1">
        <v>146.4</v>
      </c>
      <c r="U220" s="1">
        <v>147.7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136.7</v>
      </c>
      <c r="AA220" s="1">
        <v>150.2</v>
      </c>
      <c r="AB220" s="1">
        <v>132.8</v>
      </c>
      <c r="AC220" s="1">
        <v>136.9</v>
      </c>
      <c r="AD220" s="1">
        <v>139.6</v>
      </c>
    </row>
    <row r="221" ht="14.25" customHeight="1">
      <c r="A221" s="1" t="s">
        <v>30</v>
      </c>
      <c r="B221" s="1">
        <v>2019.0</v>
      </c>
      <c r="C221" s="1" t="s">
        <v>35</v>
      </c>
      <c r="D221" s="1">
        <v>136.8</v>
      </c>
      <c r="E221" s="1">
        <v>153.0</v>
      </c>
      <c r="F221" s="1">
        <v>139.1</v>
      </c>
      <c r="G221" s="1">
        <v>142.5</v>
      </c>
      <c r="H221" s="1">
        <v>124.1</v>
      </c>
      <c r="I221" s="1">
        <v>135.8</v>
      </c>
      <c r="J221" s="1">
        <v>128.7</v>
      </c>
      <c r="K221" s="1">
        <v>121.5</v>
      </c>
      <c r="L221" s="1">
        <v>108.3</v>
      </c>
      <c r="M221" s="1">
        <v>139.2</v>
      </c>
      <c r="N221" s="1">
        <v>137.4</v>
      </c>
      <c r="O221" s="1">
        <v>156.2</v>
      </c>
      <c r="P221" s="1">
        <v>137.2</v>
      </c>
      <c r="Q221" s="1">
        <v>162.8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</v>
      </c>
      <c r="W221" s="1">
        <v>150.1</v>
      </c>
      <c r="X221" s="1">
        <v>149.9</v>
      </c>
      <c r="Y221" s="1">
        <v>129.2</v>
      </c>
      <c r="Z221" s="1">
        <v>143.4</v>
      </c>
      <c r="AA221" s="1">
        <v>155.5</v>
      </c>
      <c r="AB221" s="1">
        <v>134.9</v>
      </c>
      <c r="AC221" s="1">
        <v>142.2</v>
      </c>
      <c r="AD221" s="1">
        <v>141.0</v>
      </c>
    </row>
    <row r="222" ht="14.25" customHeight="1">
      <c r="A222" s="1" t="s">
        <v>33</v>
      </c>
      <c r="B222" s="1">
        <v>2019.0</v>
      </c>
      <c r="C222" s="1" t="s">
        <v>35</v>
      </c>
      <c r="D222" s="1">
        <v>139.4</v>
      </c>
      <c r="E222" s="1">
        <v>150.1</v>
      </c>
      <c r="F222" s="1">
        <v>145.3</v>
      </c>
      <c r="G222" s="1">
        <v>141.7</v>
      </c>
      <c r="H222" s="1">
        <v>118.4</v>
      </c>
      <c r="I222" s="1">
        <v>137.0</v>
      </c>
      <c r="J222" s="1">
        <v>131.6</v>
      </c>
      <c r="K222" s="1">
        <v>119.9</v>
      </c>
      <c r="L222" s="1">
        <v>110.4</v>
      </c>
      <c r="M222" s="1">
        <v>140.8</v>
      </c>
      <c r="N222" s="1">
        <v>128.3</v>
      </c>
      <c r="O222" s="1">
        <v>153.5</v>
      </c>
      <c r="P222" s="1">
        <v>138.0</v>
      </c>
      <c r="Q222" s="1">
        <v>164.9</v>
      </c>
      <c r="R222" s="1">
        <v>143.3</v>
      </c>
      <c r="S222" s="1">
        <v>130.8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132.2</v>
      </c>
      <c r="AA222" s="1">
        <v>146.6</v>
      </c>
      <c r="AB222" s="1">
        <v>133.0</v>
      </c>
      <c r="AC222" s="1">
        <v>132.4</v>
      </c>
      <c r="AD222" s="1">
        <v>138.6</v>
      </c>
    </row>
    <row r="223" ht="14.25" customHeight="1">
      <c r="A223" s="1" t="s">
        <v>34</v>
      </c>
      <c r="B223" s="1">
        <v>2019.0</v>
      </c>
      <c r="C223" s="1" t="s">
        <v>35</v>
      </c>
      <c r="D223" s="1">
        <v>137.6</v>
      </c>
      <c r="E223" s="1">
        <v>152.0</v>
      </c>
      <c r="F223" s="1">
        <v>141.5</v>
      </c>
      <c r="G223" s="1">
        <v>142.2</v>
      </c>
      <c r="H223" s="1">
        <v>122.0</v>
      </c>
      <c r="I223" s="1">
        <v>136.4</v>
      </c>
      <c r="J223" s="1">
        <v>129.7</v>
      </c>
      <c r="K223" s="1">
        <v>121.0</v>
      </c>
      <c r="L223" s="1">
        <v>109.0</v>
      </c>
      <c r="M223" s="1">
        <v>139.7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147.7</v>
      </c>
      <c r="S223" s="1">
        <v>139.7</v>
      </c>
      <c r="T223" s="1">
        <v>146.5</v>
      </c>
      <c r="U223" s="1">
        <v>148.5</v>
      </c>
      <c r="V223" s="1">
        <v>138.4</v>
      </c>
      <c r="W223" s="1">
        <v>143.7</v>
      </c>
      <c r="X223" s="1">
        <v>145.6</v>
      </c>
      <c r="Y223" s="1">
        <v>123.9</v>
      </c>
      <c r="Z223" s="1">
        <v>137.1</v>
      </c>
      <c r="AA223" s="1">
        <v>150.3</v>
      </c>
      <c r="AB223" s="1">
        <v>134.1</v>
      </c>
      <c r="AC223" s="1">
        <v>137.4</v>
      </c>
      <c r="AD223" s="1">
        <v>139.9</v>
      </c>
    </row>
    <row r="224" ht="14.25" customHeight="1">
      <c r="A224" s="1" t="s">
        <v>30</v>
      </c>
      <c r="B224" s="1">
        <v>2019.0</v>
      </c>
      <c r="C224" s="1" t="s">
        <v>36</v>
      </c>
      <c r="D224" s="1">
        <v>136.9</v>
      </c>
      <c r="E224" s="1">
        <v>154.1</v>
      </c>
      <c r="F224" s="1">
        <v>138.7</v>
      </c>
      <c r="G224" s="1">
        <v>142.5</v>
      </c>
      <c r="H224" s="1">
        <v>124.1</v>
      </c>
      <c r="I224" s="1">
        <v>136.1</v>
      </c>
      <c r="J224" s="1">
        <v>128.2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</v>
      </c>
      <c r="Q224" s="1">
        <v>162.9</v>
      </c>
      <c r="R224" s="1">
        <v>150.8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150.0</v>
      </c>
      <c r="X224" s="1">
        <v>150.4</v>
      </c>
      <c r="Y224" s="1">
        <v>129.9</v>
      </c>
      <c r="Z224" s="1">
        <v>143.8</v>
      </c>
      <c r="AA224" s="1">
        <v>155.5</v>
      </c>
      <c r="AB224" s="1">
        <v>134.0</v>
      </c>
      <c r="AC224" s="1">
        <v>142.4</v>
      </c>
      <c r="AD224" s="1">
        <v>141.2</v>
      </c>
    </row>
    <row r="225" ht="14.25" customHeight="1">
      <c r="A225" s="1" t="s">
        <v>33</v>
      </c>
      <c r="B225" s="1">
        <v>2019.0</v>
      </c>
      <c r="C225" s="1" t="s">
        <v>36</v>
      </c>
      <c r="D225" s="1">
        <v>139.7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141.2</v>
      </c>
      <c r="K225" s="1">
        <v>120.7</v>
      </c>
      <c r="L225" s="1">
        <v>110.4</v>
      </c>
      <c r="M225" s="1">
        <v>140.7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131.2</v>
      </c>
      <c r="T225" s="1">
        <v>141.6</v>
      </c>
      <c r="U225" s="1">
        <v>149.0</v>
      </c>
      <c r="V225" s="1">
        <v>128.8</v>
      </c>
      <c r="W225" s="1">
        <v>136.8</v>
      </c>
      <c r="X225" s="1">
        <v>139.2</v>
      </c>
      <c r="Y225" s="1">
        <v>119.9</v>
      </c>
      <c r="Z225" s="1">
        <v>133.0</v>
      </c>
      <c r="AA225" s="1">
        <v>146.7</v>
      </c>
      <c r="AB225" s="1">
        <v>132.5</v>
      </c>
      <c r="AC225" s="1">
        <v>132.8</v>
      </c>
      <c r="AD225" s="1">
        <v>139.5</v>
      </c>
    </row>
    <row r="226" ht="14.25" customHeight="1">
      <c r="A226" s="1" t="s">
        <v>34</v>
      </c>
      <c r="B226" s="1">
        <v>2019.0</v>
      </c>
      <c r="C226" s="1" t="s">
        <v>36</v>
      </c>
      <c r="D226" s="1">
        <v>137.8</v>
      </c>
      <c r="E226" s="1">
        <v>153.0</v>
      </c>
      <c r="F226" s="1">
        <v>140.3</v>
      </c>
      <c r="G226" s="1">
        <v>142.3</v>
      </c>
      <c r="H226" s="1">
        <v>122.0</v>
      </c>
      <c r="I226" s="1">
        <v>137.6</v>
      </c>
      <c r="J226" s="1">
        <v>132.6</v>
      </c>
      <c r="K226" s="1">
        <v>121.8</v>
      </c>
      <c r="L226" s="1">
        <v>109.0</v>
      </c>
      <c r="M226" s="1">
        <v>139.5</v>
      </c>
      <c r="N226" s="1">
        <v>133.7</v>
      </c>
      <c r="O226" s="1">
        <v>155.2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146.7</v>
      </c>
      <c r="U226" s="1">
        <v>149.0</v>
      </c>
      <c r="V226" s="1">
        <v>139.7</v>
      </c>
      <c r="W226" s="1">
        <v>143.8</v>
      </c>
      <c r="X226" s="1">
        <v>146.2</v>
      </c>
      <c r="Y226" s="1">
        <v>124.6</v>
      </c>
      <c r="Z226" s="1">
        <v>137.7</v>
      </c>
      <c r="AA226" s="1">
        <v>150.3</v>
      </c>
      <c r="AB226" s="1">
        <v>133.4</v>
      </c>
      <c r="AC226" s="1">
        <v>137.7</v>
      </c>
      <c r="AD226" s="1">
        <v>140.4</v>
      </c>
    </row>
    <row r="227" ht="14.25" customHeight="1">
      <c r="A227" s="1" t="s">
        <v>30</v>
      </c>
      <c r="B227" s="1">
        <v>2019.0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124.0</v>
      </c>
      <c r="I227" s="1">
        <v>143.7</v>
      </c>
      <c r="J227" s="1">
        <v>133.4</v>
      </c>
      <c r="K227" s="1">
        <v>125.1</v>
      </c>
      <c r="L227" s="1">
        <v>109.3</v>
      </c>
      <c r="M227" s="1">
        <v>139.3</v>
      </c>
      <c r="N227" s="1">
        <v>137.7</v>
      </c>
      <c r="O227" s="1">
        <v>156.4</v>
      </c>
      <c r="P227" s="1">
        <v>139.2</v>
      </c>
      <c r="Q227" s="1">
        <v>163.3</v>
      </c>
      <c r="R227" s="1">
        <v>151.3</v>
      </c>
      <c r="S227" s="1">
        <v>146.6</v>
      </c>
      <c r="T227" s="1">
        <v>150.7</v>
      </c>
      <c r="U227" s="1" t="s">
        <v>32</v>
      </c>
      <c r="V227" s="1">
        <v>146.9</v>
      </c>
      <c r="W227" s="1">
        <v>149.5</v>
      </c>
      <c r="X227" s="1">
        <v>151.3</v>
      </c>
      <c r="Y227" s="1">
        <v>130.2</v>
      </c>
      <c r="Z227" s="1">
        <v>145.9</v>
      </c>
      <c r="AA227" s="1">
        <v>156.7</v>
      </c>
      <c r="AB227" s="1">
        <v>133.9</v>
      </c>
      <c r="AC227" s="1">
        <v>142.9</v>
      </c>
      <c r="AD227" s="1">
        <v>142.4</v>
      </c>
    </row>
    <row r="228" ht="14.25" customHeight="1">
      <c r="A228" s="1" t="s">
        <v>33</v>
      </c>
      <c r="B228" s="1">
        <v>2019.0</v>
      </c>
      <c r="C228" s="1" t="s">
        <v>38</v>
      </c>
      <c r="D228" s="1">
        <v>140.4</v>
      </c>
      <c r="E228" s="1">
        <v>156.7</v>
      </c>
      <c r="F228" s="1">
        <v>138.3</v>
      </c>
      <c r="G228" s="1">
        <v>142.4</v>
      </c>
      <c r="H228" s="1">
        <v>118.6</v>
      </c>
      <c r="I228" s="1">
        <v>149.7</v>
      </c>
      <c r="J228" s="1">
        <v>161.6</v>
      </c>
      <c r="K228" s="1">
        <v>124.4</v>
      </c>
      <c r="L228" s="1">
        <v>111.2</v>
      </c>
      <c r="M228" s="1">
        <v>141.0</v>
      </c>
      <c r="N228" s="1">
        <v>128.9</v>
      </c>
      <c r="O228" s="1">
        <v>154.5</v>
      </c>
      <c r="P228" s="1">
        <v>143.8</v>
      </c>
      <c r="Q228" s="1">
        <v>166.2</v>
      </c>
      <c r="R228" s="1">
        <v>144.0</v>
      </c>
      <c r="S228" s="1">
        <v>131.7</v>
      </c>
      <c r="T228" s="1">
        <v>142.2</v>
      </c>
      <c r="U228" s="1">
        <v>150.1</v>
      </c>
      <c r="V228" s="1">
        <v>129.4</v>
      </c>
      <c r="W228" s="1">
        <v>137.2</v>
      </c>
      <c r="X228" s="1">
        <v>139.8</v>
      </c>
      <c r="Y228" s="1">
        <v>120.1</v>
      </c>
      <c r="Z228" s="1">
        <v>134.0</v>
      </c>
      <c r="AA228" s="1">
        <v>148.0</v>
      </c>
      <c r="AB228" s="1">
        <v>132.6</v>
      </c>
      <c r="AC228" s="1">
        <v>133.3</v>
      </c>
      <c r="AD228" s="1">
        <v>141.5</v>
      </c>
    </row>
    <row r="229" ht="14.25" customHeight="1">
      <c r="A229" s="1" t="s">
        <v>34</v>
      </c>
      <c r="B229" s="1">
        <v>2019.0</v>
      </c>
      <c r="C229" s="1" t="s">
        <v>38</v>
      </c>
      <c r="D229" s="1">
        <v>138.3</v>
      </c>
      <c r="E229" s="1">
        <v>158.5</v>
      </c>
      <c r="F229" s="1">
        <v>136.0</v>
      </c>
      <c r="G229" s="1">
        <v>142.5</v>
      </c>
      <c r="H229" s="1">
        <v>122.0</v>
      </c>
      <c r="I229" s="1">
        <v>146.5</v>
      </c>
      <c r="J229" s="1">
        <v>143.0</v>
      </c>
      <c r="K229" s="1">
        <v>124.9</v>
      </c>
      <c r="L229" s="1">
        <v>109.9</v>
      </c>
      <c r="M229" s="1">
        <v>139.9</v>
      </c>
      <c r="N229" s="1">
        <v>134.0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</v>
      </c>
      <c r="U229" s="1">
        <v>150.1</v>
      </c>
      <c r="V229" s="1">
        <v>140.3</v>
      </c>
      <c r="W229" s="1">
        <v>143.7</v>
      </c>
      <c r="X229" s="1">
        <v>146.9</v>
      </c>
      <c r="Y229" s="1">
        <v>124.9</v>
      </c>
      <c r="Z229" s="1">
        <v>139.2</v>
      </c>
      <c r="AA229" s="1">
        <v>151.6</v>
      </c>
      <c r="AB229" s="1">
        <v>133.4</v>
      </c>
      <c r="AC229" s="1">
        <v>138.2</v>
      </c>
      <c r="AD229" s="1">
        <v>142.0</v>
      </c>
    </row>
    <row r="230" ht="14.25" customHeight="1">
      <c r="A230" s="1" t="s">
        <v>30</v>
      </c>
      <c r="B230" s="1">
        <v>2019.0</v>
      </c>
      <c r="C230" s="1" t="s">
        <v>39</v>
      </c>
      <c r="D230" s="1">
        <v>137.8</v>
      </c>
      <c r="E230" s="1">
        <v>163.5</v>
      </c>
      <c r="F230" s="1">
        <v>136.2</v>
      </c>
      <c r="G230" s="1">
        <v>143.2</v>
      </c>
      <c r="H230" s="1">
        <v>124.3</v>
      </c>
      <c r="I230" s="1">
        <v>143.3</v>
      </c>
      <c r="J230" s="1">
        <v>140.6</v>
      </c>
      <c r="K230" s="1">
        <v>128.7</v>
      </c>
      <c r="L230" s="1">
        <v>110.6</v>
      </c>
      <c r="M230" s="1">
        <v>140.4</v>
      </c>
      <c r="N230" s="1">
        <v>138.0</v>
      </c>
      <c r="O230" s="1">
        <v>156.6</v>
      </c>
      <c r="P230" s="1">
        <v>141.0</v>
      </c>
      <c r="Q230" s="1">
        <v>164.2</v>
      </c>
      <c r="R230" s="1">
        <v>151.4</v>
      </c>
      <c r="S230" s="1">
        <v>146.5</v>
      </c>
      <c r="T230" s="1">
        <v>150.7</v>
      </c>
      <c r="U230" s="1" t="s">
        <v>32</v>
      </c>
      <c r="V230" s="1">
        <v>147.8</v>
      </c>
      <c r="W230" s="1">
        <v>149.6</v>
      </c>
      <c r="X230" s="1">
        <v>151.7</v>
      </c>
      <c r="Y230" s="1">
        <v>130.2</v>
      </c>
      <c r="Z230" s="1">
        <v>146.4</v>
      </c>
      <c r="AA230" s="1">
        <v>157.7</v>
      </c>
      <c r="AB230" s="1">
        <v>134.8</v>
      </c>
      <c r="AC230" s="1">
        <v>143.3</v>
      </c>
      <c r="AD230" s="1">
        <v>143.6</v>
      </c>
    </row>
    <row r="231" ht="14.25" customHeight="1">
      <c r="A231" s="1" t="s">
        <v>33</v>
      </c>
      <c r="B231" s="1">
        <v>2019.0</v>
      </c>
      <c r="C231" s="1" t="s">
        <v>39</v>
      </c>
      <c r="D231" s="1">
        <v>140.7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141.0</v>
      </c>
      <c r="N231" s="1">
        <v>129.0</v>
      </c>
      <c r="O231" s="1">
        <v>155.1</v>
      </c>
      <c r="P231" s="1">
        <v>145.6</v>
      </c>
      <c r="Q231" s="1">
        <v>166.7</v>
      </c>
      <c r="R231" s="1">
        <v>144.3</v>
      </c>
      <c r="S231" s="1">
        <v>131.7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</v>
      </c>
      <c r="Y231" s="1">
        <v>119.6</v>
      </c>
      <c r="Z231" s="1">
        <v>134.3</v>
      </c>
      <c r="AA231" s="1">
        <v>148.9</v>
      </c>
      <c r="AB231" s="1">
        <v>133.7</v>
      </c>
      <c r="AC231" s="1">
        <v>133.6</v>
      </c>
      <c r="AD231" s="1">
        <v>142.1</v>
      </c>
    </row>
    <row r="232" ht="14.25" customHeight="1">
      <c r="A232" s="1" t="s">
        <v>34</v>
      </c>
      <c r="B232" s="1">
        <v>2019.0</v>
      </c>
      <c r="C232" s="1" t="s">
        <v>39</v>
      </c>
      <c r="D232" s="1">
        <v>138.7</v>
      </c>
      <c r="E232" s="1">
        <v>162.1</v>
      </c>
      <c r="F232" s="1">
        <v>137.8</v>
      </c>
      <c r="G232" s="1">
        <v>143.3</v>
      </c>
      <c r="H232" s="1">
        <v>122.2</v>
      </c>
      <c r="I232" s="1">
        <v>146.8</v>
      </c>
      <c r="J232" s="1">
        <v>150.5</v>
      </c>
      <c r="K232" s="1">
        <v>128.3</v>
      </c>
      <c r="L232" s="1">
        <v>111.0</v>
      </c>
      <c r="M232" s="1">
        <v>140.6</v>
      </c>
      <c r="N232" s="1">
        <v>134.2</v>
      </c>
      <c r="O232" s="1">
        <v>155.9</v>
      </c>
      <c r="P232" s="1">
        <v>142.7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141.2</v>
      </c>
      <c r="W232" s="1">
        <v>143.8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</v>
      </c>
      <c r="AC232" s="1">
        <v>138.6</v>
      </c>
      <c r="AD232" s="1">
        <v>142.9</v>
      </c>
    </row>
    <row r="233" ht="14.25" customHeight="1">
      <c r="A233" s="1" t="s">
        <v>30</v>
      </c>
      <c r="B233" s="1">
        <v>2019.0</v>
      </c>
      <c r="C233" s="1" t="s">
        <v>40</v>
      </c>
      <c r="D233" s="1">
        <v>138.4</v>
      </c>
      <c r="E233" s="1">
        <v>164.0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141.7</v>
      </c>
      <c r="N233" s="1">
        <v>138.5</v>
      </c>
      <c r="O233" s="1">
        <v>156.7</v>
      </c>
      <c r="P233" s="1">
        <v>143.0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</v>
      </c>
      <c r="W233" s="1">
        <v>150.0</v>
      </c>
      <c r="X233" s="1">
        <v>152.2</v>
      </c>
      <c r="Y233" s="1">
        <v>131.2</v>
      </c>
      <c r="Z233" s="1">
        <v>147.5</v>
      </c>
      <c r="AA233" s="1">
        <v>159.1</v>
      </c>
      <c r="AB233" s="1">
        <v>136.1</v>
      </c>
      <c r="AC233" s="1">
        <v>144.2</v>
      </c>
      <c r="AD233" s="1">
        <v>144.9</v>
      </c>
    </row>
    <row r="234" ht="14.25" customHeight="1">
      <c r="A234" s="1" t="s">
        <v>33</v>
      </c>
      <c r="B234" s="1">
        <v>2019.0</v>
      </c>
      <c r="C234" s="1" t="s">
        <v>40</v>
      </c>
      <c r="D234" s="1">
        <v>141.4</v>
      </c>
      <c r="E234" s="1">
        <v>160.2</v>
      </c>
      <c r="F234" s="1">
        <v>142.5</v>
      </c>
      <c r="G234" s="1">
        <v>144.1</v>
      </c>
      <c r="H234" s="1">
        <v>119.3</v>
      </c>
      <c r="I234" s="1">
        <v>154.7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147.7</v>
      </c>
      <c r="Q234" s="1">
        <v>167.2</v>
      </c>
      <c r="R234" s="1">
        <v>144.7</v>
      </c>
      <c r="S234" s="1">
        <v>131.9</v>
      </c>
      <c r="T234" s="1">
        <v>142.7</v>
      </c>
      <c r="U234" s="1">
        <v>150.6</v>
      </c>
      <c r="V234" s="1">
        <v>127.0</v>
      </c>
      <c r="W234" s="1">
        <v>137.7</v>
      </c>
      <c r="X234" s="1">
        <v>140.8</v>
      </c>
      <c r="Y234" s="1">
        <v>120.6</v>
      </c>
      <c r="Z234" s="1">
        <v>135.0</v>
      </c>
      <c r="AA234" s="1">
        <v>150.4</v>
      </c>
      <c r="AB234" s="1">
        <v>135.1</v>
      </c>
      <c r="AC234" s="1">
        <v>134.5</v>
      </c>
      <c r="AD234" s="1">
        <v>143.3</v>
      </c>
    </row>
    <row r="235" ht="14.25" customHeight="1">
      <c r="A235" s="1" t="s">
        <v>34</v>
      </c>
      <c r="B235" s="1">
        <v>2019.0</v>
      </c>
      <c r="C235" s="1" t="s">
        <v>40</v>
      </c>
      <c r="D235" s="1">
        <v>139.3</v>
      </c>
      <c r="E235" s="1">
        <v>162.7</v>
      </c>
      <c r="F235" s="1">
        <v>140.0</v>
      </c>
      <c r="G235" s="1">
        <v>144.0</v>
      </c>
      <c r="H235" s="1">
        <v>122.5</v>
      </c>
      <c r="I235" s="1">
        <v>150.3</v>
      </c>
      <c r="J235" s="1">
        <v>160.3</v>
      </c>
      <c r="K235" s="1">
        <v>130.0</v>
      </c>
      <c r="L235" s="1">
        <v>111.1</v>
      </c>
      <c r="M235" s="1">
        <v>141.7</v>
      </c>
      <c r="N235" s="1">
        <v>134.7</v>
      </c>
      <c r="O235" s="1">
        <v>156.2</v>
      </c>
      <c r="P235" s="1">
        <v>144.7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</v>
      </c>
      <c r="W235" s="1">
        <v>144.2</v>
      </c>
      <c r="X235" s="1">
        <v>147.9</v>
      </c>
      <c r="Y235" s="1">
        <v>125.6</v>
      </c>
      <c r="Z235" s="1">
        <v>140.5</v>
      </c>
      <c r="AA235" s="1">
        <v>154.0</v>
      </c>
      <c r="AB235" s="1">
        <v>135.7</v>
      </c>
      <c r="AC235" s="1">
        <v>139.5</v>
      </c>
      <c r="AD235" s="1">
        <v>144.2</v>
      </c>
    </row>
    <row r="236" ht="14.25" customHeight="1">
      <c r="A236" s="1" t="s">
        <v>30</v>
      </c>
      <c r="B236" s="1">
        <v>2019.0</v>
      </c>
      <c r="C236" s="1" t="s">
        <v>41</v>
      </c>
      <c r="D236" s="1">
        <v>139.2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156.2</v>
      </c>
      <c r="K236" s="1">
        <v>131.5</v>
      </c>
      <c r="L236" s="1">
        <v>111.7</v>
      </c>
      <c r="M236" s="1">
        <v>142.7</v>
      </c>
      <c r="N236" s="1">
        <v>138.5</v>
      </c>
      <c r="O236" s="1">
        <v>156.9</v>
      </c>
      <c r="P236" s="1">
        <v>144.0</v>
      </c>
      <c r="Q236" s="1">
        <v>165.1</v>
      </c>
      <c r="R236" s="1">
        <v>151.8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150.2</v>
      </c>
      <c r="X236" s="1">
        <v>152.7</v>
      </c>
      <c r="Y236" s="1">
        <v>131.4</v>
      </c>
      <c r="Z236" s="1">
        <v>148.0</v>
      </c>
      <c r="AA236" s="1">
        <v>159.7</v>
      </c>
      <c r="AB236" s="1">
        <v>138.8</v>
      </c>
      <c r="AC236" s="1">
        <v>144.9</v>
      </c>
      <c r="AD236" s="1">
        <v>145.7</v>
      </c>
    </row>
    <row r="237" ht="14.25" customHeight="1">
      <c r="A237" s="1" t="s">
        <v>33</v>
      </c>
      <c r="B237" s="1">
        <v>2019.0</v>
      </c>
      <c r="C237" s="1" t="s">
        <v>41</v>
      </c>
      <c r="D237" s="1">
        <v>142.1</v>
      </c>
      <c r="E237" s="1">
        <v>158.3</v>
      </c>
      <c r="F237" s="1">
        <v>140.8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</v>
      </c>
      <c r="L237" s="1">
        <v>112.7</v>
      </c>
      <c r="M237" s="1">
        <v>142.5</v>
      </c>
      <c r="N237" s="1">
        <v>129.8</v>
      </c>
      <c r="O237" s="1">
        <v>156.2</v>
      </c>
      <c r="P237" s="1">
        <v>149.1</v>
      </c>
      <c r="Q237" s="1">
        <v>167.9</v>
      </c>
      <c r="R237" s="1">
        <v>145.0</v>
      </c>
      <c r="S237" s="1">
        <v>132.2</v>
      </c>
      <c r="T237" s="1">
        <v>143.0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</v>
      </c>
      <c r="AC237" s="1">
        <v>135.3</v>
      </c>
      <c r="AD237" s="1">
        <v>144.2</v>
      </c>
    </row>
    <row r="238" ht="14.25" customHeight="1">
      <c r="A238" s="1" t="s">
        <v>34</v>
      </c>
      <c r="B238" s="1">
        <v>2019.0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144.7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112.0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140.2</v>
      </c>
      <c r="AD238" s="1">
        <v>145.0</v>
      </c>
    </row>
    <row r="239" ht="14.25" customHeight="1">
      <c r="A239" s="1" t="s">
        <v>30</v>
      </c>
      <c r="B239" s="1">
        <v>2019.0</v>
      </c>
      <c r="C239" s="1" t="s">
        <v>42</v>
      </c>
      <c r="D239" s="1">
        <v>140.1</v>
      </c>
      <c r="E239" s="1">
        <v>161.9</v>
      </c>
      <c r="F239" s="1">
        <v>138.3</v>
      </c>
      <c r="G239" s="1">
        <v>145.7</v>
      </c>
      <c r="H239" s="1">
        <v>125.1</v>
      </c>
      <c r="I239" s="1">
        <v>143.8</v>
      </c>
      <c r="J239" s="1">
        <v>163.4</v>
      </c>
      <c r="K239" s="1">
        <v>132.2</v>
      </c>
      <c r="L239" s="1">
        <v>112.8</v>
      </c>
      <c r="M239" s="1">
        <v>144.2</v>
      </c>
      <c r="N239" s="1">
        <v>138.5</v>
      </c>
      <c r="O239" s="1">
        <v>157.2</v>
      </c>
      <c r="P239" s="1">
        <v>145.5</v>
      </c>
      <c r="Q239" s="1">
        <v>165.7</v>
      </c>
      <c r="R239" s="1">
        <v>151.7</v>
      </c>
      <c r="S239" s="1">
        <v>146.6</v>
      </c>
      <c r="T239" s="1">
        <v>151.0</v>
      </c>
      <c r="U239" s="1" t="s">
        <v>32</v>
      </c>
      <c r="V239" s="1">
        <v>146.9</v>
      </c>
      <c r="W239" s="1">
        <v>150.3</v>
      </c>
      <c r="X239" s="1">
        <v>153.4</v>
      </c>
      <c r="Y239" s="1">
        <v>131.6</v>
      </c>
      <c r="Z239" s="1">
        <v>148.3</v>
      </c>
      <c r="AA239" s="1">
        <v>160.2</v>
      </c>
      <c r="AB239" s="1">
        <v>140.2</v>
      </c>
      <c r="AC239" s="1">
        <v>145.4</v>
      </c>
      <c r="AD239" s="1">
        <v>146.7</v>
      </c>
    </row>
    <row r="240" ht="14.25" customHeight="1">
      <c r="A240" s="1" t="s">
        <v>33</v>
      </c>
      <c r="B240" s="1">
        <v>2019.0</v>
      </c>
      <c r="C240" s="1" t="s">
        <v>42</v>
      </c>
      <c r="D240" s="1">
        <v>142.7</v>
      </c>
      <c r="E240" s="1">
        <v>158.7</v>
      </c>
      <c r="F240" s="1">
        <v>141.6</v>
      </c>
      <c r="G240" s="1">
        <v>144.9</v>
      </c>
      <c r="H240" s="1">
        <v>120.8</v>
      </c>
      <c r="I240" s="1">
        <v>149.8</v>
      </c>
      <c r="J240" s="1">
        <v>192.4</v>
      </c>
      <c r="K240" s="1">
        <v>130.3</v>
      </c>
      <c r="L240" s="1">
        <v>114.0</v>
      </c>
      <c r="M240" s="1">
        <v>143.8</v>
      </c>
      <c r="N240" s="1">
        <v>130.0</v>
      </c>
      <c r="O240" s="1">
        <v>156.4</v>
      </c>
      <c r="P240" s="1">
        <v>149.5</v>
      </c>
      <c r="Q240" s="1">
        <v>168.6</v>
      </c>
      <c r="R240" s="1">
        <v>145.3</v>
      </c>
      <c r="S240" s="1">
        <v>132.2</v>
      </c>
      <c r="T240" s="1">
        <v>143.3</v>
      </c>
      <c r="U240" s="1">
        <v>152.2</v>
      </c>
      <c r="V240" s="1">
        <v>126.6</v>
      </c>
      <c r="W240" s="1">
        <v>138.3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139.0</v>
      </c>
      <c r="AC240" s="1">
        <v>135.7</v>
      </c>
      <c r="AD240" s="1">
        <v>144.7</v>
      </c>
    </row>
    <row r="241" ht="14.25" customHeight="1">
      <c r="A241" s="1" t="s">
        <v>34</v>
      </c>
      <c r="B241" s="1">
        <v>2019.0</v>
      </c>
      <c r="C241" s="1" t="s">
        <v>42</v>
      </c>
      <c r="D241" s="1">
        <v>140.9</v>
      </c>
      <c r="E241" s="1">
        <v>160.8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135.0</v>
      </c>
      <c r="O241" s="1">
        <v>156.8</v>
      </c>
      <c r="P241" s="1">
        <v>147.0</v>
      </c>
      <c r="Q241" s="1">
        <v>166.5</v>
      </c>
      <c r="R241" s="1">
        <v>149.2</v>
      </c>
      <c r="S241" s="1">
        <v>140.6</v>
      </c>
      <c r="T241" s="1">
        <v>147.9</v>
      </c>
      <c r="U241" s="1">
        <v>152.2</v>
      </c>
      <c r="V241" s="1">
        <v>139.2</v>
      </c>
      <c r="W241" s="1">
        <v>144.6</v>
      </c>
      <c r="X241" s="1">
        <v>149.0</v>
      </c>
      <c r="Y241" s="1">
        <v>126.1</v>
      </c>
      <c r="Z241" s="1">
        <v>141.3</v>
      </c>
      <c r="AA241" s="1">
        <v>155.2</v>
      </c>
      <c r="AB241" s="1">
        <v>139.7</v>
      </c>
      <c r="AC241" s="1">
        <v>140.7</v>
      </c>
      <c r="AD241" s="1">
        <v>145.8</v>
      </c>
    </row>
    <row r="242" ht="14.25" customHeight="1">
      <c r="A242" s="1" t="s">
        <v>30</v>
      </c>
      <c r="B242" s="1">
        <v>2019.0</v>
      </c>
      <c r="C242" s="1" t="s">
        <v>43</v>
      </c>
      <c r="D242" s="1">
        <v>141.0</v>
      </c>
      <c r="E242" s="1">
        <v>161.6</v>
      </c>
      <c r="F242" s="1">
        <v>141.2</v>
      </c>
      <c r="G242" s="1">
        <v>146.5</v>
      </c>
      <c r="H242" s="1">
        <v>125.6</v>
      </c>
      <c r="I242" s="1">
        <v>145.7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</v>
      </c>
      <c r="Q242" s="1">
        <v>166.3</v>
      </c>
      <c r="R242" s="1">
        <v>151.7</v>
      </c>
      <c r="S242" s="1">
        <v>146.7</v>
      </c>
      <c r="T242" s="1">
        <v>151.0</v>
      </c>
      <c r="U242" s="1" t="s">
        <v>32</v>
      </c>
      <c r="V242" s="1">
        <v>147.7</v>
      </c>
      <c r="W242" s="1">
        <v>150.6</v>
      </c>
      <c r="X242" s="1">
        <v>153.7</v>
      </c>
      <c r="Y242" s="1">
        <v>131.7</v>
      </c>
      <c r="Z242" s="1">
        <v>148.7</v>
      </c>
      <c r="AA242" s="1">
        <v>160.7</v>
      </c>
      <c r="AB242" s="1">
        <v>140.3</v>
      </c>
      <c r="AC242" s="1">
        <v>145.7</v>
      </c>
      <c r="AD242" s="1">
        <v>148.3</v>
      </c>
    </row>
    <row r="243" ht="14.25" customHeight="1">
      <c r="A243" s="1" t="s">
        <v>33</v>
      </c>
      <c r="B243" s="1">
        <v>2019.0</v>
      </c>
      <c r="C243" s="1" t="s">
        <v>43</v>
      </c>
      <c r="D243" s="1">
        <v>143.5</v>
      </c>
      <c r="E243" s="1">
        <v>159.8</v>
      </c>
      <c r="F243" s="1">
        <v>144.7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131.2</v>
      </c>
      <c r="L243" s="1">
        <v>114.8</v>
      </c>
      <c r="M243" s="1">
        <v>145.2</v>
      </c>
      <c r="N243" s="1">
        <v>130.2</v>
      </c>
      <c r="O243" s="1">
        <v>156.8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153.0</v>
      </c>
      <c r="V243" s="1">
        <v>128.9</v>
      </c>
      <c r="W243" s="1">
        <v>138.7</v>
      </c>
      <c r="X243" s="1">
        <v>142.4</v>
      </c>
      <c r="Y243" s="1">
        <v>121.5</v>
      </c>
      <c r="Z243" s="1">
        <v>136.2</v>
      </c>
      <c r="AA243" s="1">
        <v>151.7</v>
      </c>
      <c r="AB243" s="1">
        <v>139.5</v>
      </c>
      <c r="AC243" s="1">
        <v>136.0</v>
      </c>
      <c r="AD243" s="1">
        <v>146.0</v>
      </c>
    </row>
    <row r="244" ht="14.25" customHeight="1">
      <c r="A244" s="1" t="s">
        <v>34</v>
      </c>
      <c r="B244" s="1">
        <v>2019.0</v>
      </c>
      <c r="C244" s="1" t="s">
        <v>43</v>
      </c>
      <c r="D244" s="1">
        <v>141.8</v>
      </c>
      <c r="E244" s="1">
        <v>161.0</v>
      </c>
      <c r="F244" s="1">
        <v>142.6</v>
      </c>
      <c r="G244" s="1">
        <v>146.2</v>
      </c>
      <c r="H244" s="1">
        <v>123.9</v>
      </c>
      <c r="I244" s="1">
        <v>148.0</v>
      </c>
      <c r="J244" s="1">
        <v>188.4</v>
      </c>
      <c r="K244" s="1">
        <v>132.5</v>
      </c>
      <c r="L244" s="1">
        <v>114.0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</v>
      </c>
      <c r="T244" s="1">
        <v>148.2</v>
      </c>
      <c r="U244" s="1">
        <v>153.0</v>
      </c>
      <c r="V244" s="1">
        <v>140.6</v>
      </c>
      <c r="W244" s="1">
        <v>145.0</v>
      </c>
      <c r="X244" s="1">
        <v>149.4</v>
      </c>
      <c r="Y244" s="1">
        <v>126.3</v>
      </c>
      <c r="Z244" s="1">
        <v>141.7</v>
      </c>
      <c r="AA244" s="1">
        <v>155.4</v>
      </c>
      <c r="AB244" s="1">
        <v>140.0</v>
      </c>
      <c r="AC244" s="1">
        <v>141.0</v>
      </c>
      <c r="AD244" s="1">
        <v>147.2</v>
      </c>
    </row>
    <row r="245" ht="14.25" customHeight="1">
      <c r="A245" s="1" t="s">
        <v>30</v>
      </c>
      <c r="B245" s="1">
        <v>2019.0</v>
      </c>
      <c r="C245" s="1" t="s">
        <v>45</v>
      </c>
      <c r="D245" s="1">
        <v>141.8</v>
      </c>
      <c r="E245" s="1">
        <v>163.7</v>
      </c>
      <c r="F245" s="1">
        <v>143.8</v>
      </c>
      <c r="G245" s="1">
        <v>147.1</v>
      </c>
      <c r="H245" s="1">
        <v>126.0</v>
      </c>
      <c r="I245" s="1">
        <v>146.2</v>
      </c>
      <c r="J245" s="1">
        <v>191.4</v>
      </c>
      <c r="K245" s="1">
        <v>136.2</v>
      </c>
      <c r="L245" s="1">
        <v>113.8</v>
      </c>
      <c r="M245" s="1">
        <v>147.3</v>
      </c>
      <c r="N245" s="1">
        <v>138.7</v>
      </c>
      <c r="O245" s="1">
        <v>157.7</v>
      </c>
      <c r="P245" s="1">
        <v>150.9</v>
      </c>
      <c r="Q245" s="1">
        <v>167.2</v>
      </c>
      <c r="R245" s="1">
        <v>152.3</v>
      </c>
      <c r="S245" s="1">
        <v>147.0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</v>
      </c>
      <c r="Y245" s="1">
        <v>132.1</v>
      </c>
      <c r="Z245" s="1">
        <v>149.1</v>
      </c>
      <c r="AA245" s="1">
        <v>160.8</v>
      </c>
      <c r="AB245" s="1">
        <v>140.6</v>
      </c>
      <c r="AC245" s="1">
        <v>146.1</v>
      </c>
      <c r="AD245" s="1">
        <v>149.9</v>
      </c>
    </row>
    <row r="246" ht="14.25" customHeight="1">
      <c r="A246" s="1" t="s">
        <v>33</v>
      </c>
      <c r="B246" s="1">
        <v>2019.0</v>
      </c>
      <c r="C246" s="1" t="s">
        <v>45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</v>
      </c>
      <c r="J246" s="1">
        <v>215.7</v>
      </c>
      <c r="K246" s="1">
        <v>134.6</v>
      </c>
      <c r="L246" s="1">
        <v>115.0</v>
      </c>
      <c r="M246" s="1">
        <v>146.3</v>
      </c>
      <c r="N246" s="1">
        <v>130.5</v>
      </c>
      <c r="O246" s="1">
        <v>157.2</v>
      </c>
      <c r="P246" s="1">
        <v>153.6</v>
      </c>
      <c r="Q246" s="1">
        <v>169.9</v>
      </c>
      <c r="R246" s="1">
        <v>146.3</v>
      </c>
      <c r="S246" s="1">
        <v>132.6</v>
      </c>
      <c r="T246" s="1">
        <v>144.2</v>
      </c>
      <c r="U246" s="1">
        <v>153.5</v>
      </c>
      <c r="V246" s="1">
        <v>132.2</v>
      </c>
      <c r="W246" s="1">
        <v>139.1</v>
      </c>
      <c r="X246" s="1">
        <v>142.8</v>
      </c>
      <c r="Y246" s="1">
        <v>121.7</v>
      </c>
      <c r="Z246" s="1">
        <v>136.7</v>
      </c>
      <c r="AA246" s="1">
        <v>151.8</v>
      </c>
      <c r="AB246" s="1">
        <v>139.8</v>
      </c>
      <c r="AC246" s="1">
        <v>136.3</v>
      </c>
      <c r="AD246" s="1">
        <v>147.0</v>
      </c>
    </row>
    <row r="247" ht="14.25" customHeight="1">
      <c r="A247" s="1" t="s">
        <v>34</v>
      </c>
      <c r="B247" s="1">
        <v>2019.0</v>
      </c>
      <c r="C247" s="1" t="s">
        <v>45</v>
      </c>
      <c r="D247" s="1">
        <v>142.5</v>
      </c>
      <c r="E247" s="1">
        <v>163.2</v>
      </c>
      <c r="F247" s="1">
        <v>145.6</v>
      </c>
      <c r="G247" s="1">
        <v>146.7</v>
      </c>
      <c r="H247" s="1">
        <v>124.3</v>
      </c>
      <c r="I247" s="1">
        <v>147.4</v>
      </c>
      <c r="J247" s="1">
        <v>199.6</v>
      </c>
      <c r="K247" s="1">
        <v>135.7</v>
      </c>
      <c r="L247" s="1">
        <v>114.2</v>
      </c>
      <c r="M247" s="1">
        <v>147.0</v>
      </c>
      <c r="N247" s="1">
        <v>135.3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141.0</v>
      </c>
      <c r="T247" s="1">
        <v>148.6</v>
      </c>
      <c r="U247" s="1">
        <v>153.5</v>
      </c>
      <c r="V247" s="1">
        <v>142.3</v>
      </c>
      <c r="W247" s="1">
        <v>145.3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</v>
      </c>
      <c r="AC247" s="1">
        <v>141.3</v>
      </c>
      <c r="AD247" s="1">
        <v>148.6</v>
      </c>
    </row>
    <row r="248" ht="14.25" customHeight="1">
      <c r="A248" s="1" t="s">
        <v>30</v>
      </c>
      <c r="B248" s="1">
        <v>2019.0</v>
      </c>
      <c r="C248" s="1" t="s">
        <v>46</v>
      </c>
      <c r="D248" s="1">
        <v>142.8</v>
      </c>
      <c r="E248" s="1">
        <v>165.3</v>
      </c>
      <c r="F248" s="1">
        <v>149.5</v>
      </c>
      <c r="G248" s="1">
        <v>148.7</v>
      </c>
      <c r="H248" s="1">
        <v>127.5</v>
      </c>
      <c r="I248" s="1">
        <v>144.3</v>
      </c>
      <c r="J248" s="1">
        <v>209.5</v>
      </c>
      <c r="K248" s="1">
        <v>138.8</v>
      </c>
      <c r="L248" s="1">
        <v>113.6</v>
      </c>
      <c r="M248" s="1">
        <v>149.1</v>
      </c>
      <c r="N248" s="1">
        <v>139.3</v>
      </c>
      <c r="O248" s="1">
        <v>158.3</v>
      </c>
      <c r="P248" s="1">
        <v>154.3</v>
      </c>
      <c r="Q248" s="1">
        <v>167.8</v>
      </c>
      <c r="R248" s="1">
        <v>152.6</v>
      </c>
      <c r="S248" s="1">
        <v>147.3</v>
      </c>
      <c r="T248" s="1">
        <v>151.9</v>
      </c>
      <c r="U248" s="1" t="s">
        <v>32</v>
      </c>
      <c r="V248" s="1">
        <v>149.9</v>
      </c>
      <c r="W248" s="1">
        <v>151.2</v>
      </c>
      <c r="X248" s="1">
        <v>154.8</v>
      </c>
      <c r="Y248" s="1">
        <v>135.0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</v>
      </c>
    </row>
    <row r="249" ht="14.25" customHeight="1">
      <c r="A249" s="1" t="s">
        <v>33</v>
      </c>
      <c r="B249" s="1">
        <v>2019.0</v>
      </c>
      <c r="C249" s="1" t="s">
        <v>46</v>
      </c>
      <c r="D249" s="1">
        <v>144.9</v>
      </c>
      <c r="E249" s="1">
        <v>164.5</v>
      </c>
      <c r="F249" s="1">
        <v>153.7</v>
      </c>
      <c r="G249" s="1">
        <v>147.5</v>
      </c>
      <c r="H249" s="1">
        <v>122.7</v>
      </c>
      <c r="I249" s="1">
        <v>147.2</v>
      </c>
      <c r="J249" s="1">
        <v>231.5</v>
      </c>
      <c r="K249" s="1">
        <v>137.2</v>
      </c>
      <c r="L249" s="1">
        <v>114.7</v>
      </c>
      <c r="M249" s="1">
        <v>148.0</v>
      </c>
      <c r="N249" s="1">
        <v>130.8</v>
      </c>
      <c r="O249" s="1">
        <v>157.7</v>
      </c>
      <c r="P249" s="1">
        <v>156.3</v>
      </c>
      <c r="Q249" s="1">
        <v>170.4</v>
      </c>
      <c r="R249" s="1">
        <v>146.8</v>
      </c>
      <c r="S249" s="1">
        <v>132.8</v>
      </c>
      <c r="T249" s="1">
        <v>144.6</v>
      </c>
      <c r="U249" s="1">
        <v>152.8</v>
      </c>
      <c r="V249" s="1">
        <v>133.6</v>
      </c>
      <c r="W249" s="1">
        <v>139.8</v>
      </c>
      <c r="X249" s="1">
        <v>143.2</v>
      </c>
      <c r="Y249" s="1">
        <v>125.2</v>
      </c>
      <c r="Z249" s="1">
        <v>136.8</v>
      </c>
      <c r="AA249" s="1">
        <v>151.9</v>
      </c>
      <c r="AB249" s="1">
        <v>140.2</v>
      </c>
      <c r="AC249" s="1">
        <v>137.7</v>
      </c>
      <c r="AD249" s="1">
        <v>148.3</v>
      </c>
    </row>
    <row r="250" ht="14.25" customHeight="1">
      <c r="A250" s="1" t="s">
        <v>34</v>
      </c>
      <c r="B250" s="1">
        <v>2019.0</v>
      </c>
      <c r="C250" s="1" t="s">
        <v>46</v>
      </c>
      <c r="D250" s="1">
        <v>143.5</v>
      </c>
      <c r="E250" s="1">
        <v>165.0</v>
      </c>
      <c r="F250" s="1">
        <v>151.1</v>
      </c>
      <c r="G250" s="1">
        <v>148.3</v>
      </c>
      <c r="H250" s="1">
        <v>125.7</v>
      </c>
      <c r="I250" s="1">
        <v>145.7</v>
      </c>
      <c r="J250" s="1">
        <v>217.0</v>
      </c>
      <c r="K250" s="1">
        <v>138.3</v>
      </c>
      <c r="L250" s="1">
        <v>114.0</v>
      </c>
      <c r="M250" s="1">
        <v>148.7</v>
      </c>
      <c r="N250" s="1">
        <v>135.8</v>
      </c>
      <c r="O250" s="1">
        <v>158.0</v>
      </c>
      <c r="P250" s="1">
        <v>155.0</v>
      </c>
      <c r="Q250" s="1">
        <v>168.5</v>
      </c>
      <c r="R250" s="1">
        <v>150.3</v>
      </c>
      <c r="S250" s="1">
        <v>141.3</v>
      </c>
      <c r="T250" s="1">
        <v>149.0</v>
      </c>
      <c r="U250" s="1">
        <v>152.8</v>
      </c>
      <c r="V250" s="1">
        <v>143.7</v>
      </c>
      <c r="W250" s="1">
        <v>145.8</v>
      </c>
      <c r="X250" s="1">
        <v>150.4</v>
      </c>
      <c r="Y250" s="1">
        <v>129.8</v>
      </c>
      <c r="Z250" s="1">
        <v>142.3</v>
      </c>
      <c r="AA250" s="1">
        <v>155.7</v>
      </c>
      <c r="AB250" s="1">
        <v>140.4</v>
      </c>
      <c r="AC250" s="1">
        <v>142.5</v>
      </c>
      <c r="AD250" s="1">
        <v>150.4</v>
      </c>
    </row>
    <row r="251" ht="14.25" customHeight="1">
      <c r="A251" s="1" t="s">
        <v>30</v>
      </c>
      <c r="B251" s="1">
        <v>2020.0</v>
      </c>
      <c r="C251" s="1" t="s">
        <v>31</v>
      </c>
      <c r="D251" s="1">
        <v>143.7</v>
      </c>
      <c r="E251" s="1">
        <v>167.3</v>
      </c>
      <c r="F251" s="1">
        <v>153.5</v>
      </c>
      <c r="G251" s="1">
        <v>150.5</v>
      </c>
      <c r="H251" s="1">
        <v>132.0</v>
      </c>
      <c r="I251" s="1">
        <v>142.2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139.7</v>
      </c>
      <c r="O251" s="1">
        <v>158.7</v>
      </c>
      <c r="P251" s="1">
        <v>153.0</v>
      </c>
      <c r="Q251" s="1">
        <v>168.6</v>
      </c>
      <c r="R251" s="1">
        <v>152.8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151.7</v>
      </c>
      <c r="X251" s="1">
        <v>155.7</v>
      </c>
      <c r="Y251" s="1">
        <v>136.3</v>
      </c>
      <c r="Z251" s="1">
        <v>150.1</v>
      </c>
      <c r="AA251" s="1">
        <v>161.7</v>
      </c>
      <c r="AB251" s="1">
        <v>142.5</v>
      </c>
      <c r="AC251" s="1">
        <v>148.1</v>
      </c>
      <c r="AD251" s="1">
        <v>151.9</v>
      </c>
    </row>
    <row r="252" ht="14.25" customHeight="1">
      <c r="A252" s="1" t="s">
        <v>33</v>
      </c>
      <c r="B252" s="1">
        <v>2020.0</v>
      </c>
      <c r="C252" s="1" t="s">
        <v>31</v>
      </c>
      <c r="D252" s="1">
        <v>145.6</v>
      </c>
      <c r="E252" s="1">
        <v>167.6</v>
      </c>
      <c r="F252" s="1">
        <v>157.0</v>
      </c>
      <c r="G252" s="1">
        <v>149.3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147.0</v>
      </c>
      <c r="S252" s="1">
        <v>133.2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</v>
      </c>
      <c r="Y252" s="1">
        <v>126.1</v>
      </c>
      <c r="Z252" s="1">
        <v>137.2</v>
      </c>
      <c r="AA252" s="1">
        <v>152.1</v>
      </c>
      <c r="AB252" s="1">
        <v>142.1</v>
      </c>
      <c r="AC252" s="1">
        <v>138.4</v>
      </c>
      <c r="AD252" s="1">
        <v>148.2</v>
      </c>
    </row>
    <row r="253" ht="14.25" customHeight="1">
      <c r="A253" s="1" t="s">
        <v>34</v>
      </c>
      <c r="B253" s="1">
        <v>2020.0</v>
      </c>
      <c r="C253" s="1" t="s">
        <v>31</v>
      </c>
      <c r="D253" s="1">
        <v>144.3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143.2</v>
      </c>
      <c r="J253" s="1">
        <v>197.0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149.2</v>
      </c>
      <c r="U253" s="1">
        <v>153.9</v>
      </c>
      <c r="V253" s="1">
        <v>144.6</v>
      </c>
      <c r="W253" s="1">
        <v>146.2</v>
      </c>
      <c r="X253" s="1">
        <v>151.2</v>
      </c>
      <c r="Y253" s="1">
        <v>130.9</v>
      </c>
      <c r="Z253" s="1">
        <v>142.8</v>
      </c>
      <c r="AA253" s="1">
        <v>156.1</v>
      </c>
      <c r="AB253" s="1">
        <v>142.3</v>
      </c>
      <c r="AC253" s="1">
        <v>143.4</v>
      </c>
      <c r="AD253" s="1">
        <v>150.2</v>
      </c>
    </row>
    <row r="254" ht="14.25" customHeight="1">
      <c r="A254" s="1" t="s">
        <v>30</v>
      </c>
      <c r="B254" s="1">
        <v>2020.0</v>
      </c>
      <c r="C254" s="1" t="s">
        <v>35</v>
      </c>
      <c r="D254" s="1">
        <v>144.2</v>
      </c>
      <c r="E254" s="1">
        <v>167.5</v>
      </c>
      <c r="F254" s="1">
        <v>150.9</v>
      </c>
      <c r="G254" s="1">
        <v>150.9</v>
      </c>
      <c r="H254" s="1">
        <v>133.7</v>
      </c>
      <c r="I254" s="1">
        <v>140.7</v>
      </c>
      <c r="J254" s="1">
        <v>165.1</v>
      </c>
      <c r="K254" s="1">
        <v>141.8</v>
      </c>
      <c r="L254" s="1">
        <v>113.1</v>
      </c>
      <c r="M254" s="1">
        <v>152.8</v>
      </c>
      <c r="N254" s="1">
        <v>140.1</v>
      </c>
      <c r="O254" s="1">
        <v>159.2</v>
      </c>
      <c r="P254" s="1">
        <v>149.8</v>
      </c>
      <c r="Q254" s="1">
        <v>169.4</v>
      </c>
      <c r="R254" s="1">
        <v>153.0</v>
      </c>
      <c r="S254" s="1">
        <v>147.5</v>
      </c>
      <c r="T254" s="1">
        <v>152.3</v>
      </c>
      <c r="U254" s="1" t="s">
        <v>32</v>
      </c>
      <c r="V254" s="1">
        <v>152.3</v>
      </c>
      <c r="W254" s="1">
        <v>151.8</v>
      </c>
      <c r="X254" s="1">
        <v>156.2</v>
      </c>
      <c r="Y254" s="1">
        <v>136.0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ht="14.25" customHeight="1">
      <c r="A255" s="1" t="s">
        <v>33</v>
      </c>
      <c r="B255" s="1">
        <v>2020.0</v>
      </c>
      <c r="C255" s="1" t="s">
        <v>35</v>
      </c>
      <c r="D255" s="1">
        <v>146.2</v>
      </c>
      <c r="E255" s="1">
        <v>167.6</v>
      </c>
      <c r="F255" s="1">
        <v>153.1</v>
      </c>
      <c r="G255" s="1">
        <v>150.7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159.0</v>
      </c>
      <c r="P255" s="1">
        <v>151.7</v>
      </c>
      <c r="Q255" s="1">
        <v>172.0</v>
      </c>
      <c r="R255" s="1">
        <v>147.3</v>
      </c>
      <c r="S255" s="1">
        <v>133.5</v>
      </c>
      <c r="T255" s="1">
        <v>145.2</v>
      </c>
      <c r="U255" s="1">
        <v>154.8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137.7</v>
      </c>
      <c r="AA255" s="1">
        <v>152.2</v>
      </c>
      <c r="AB255" s="1">
        <v>143.5</v>
      </c>
      <c r="AC255" s="1">
        <v>138.4</v>
      </c>
      <c r="AD255" s="1">
        <v>147.7</v>
      </c>
    </row>
    <row r="256" ht="14.25" customHeight="1">
      <c r="A256" s="1" t="s">
        <v>34</v>
      </c>
      <c r="B256" s="1">
        <v>2020.0</v>
      </c>
      <c r="C256" s="1" t="s">
        <v>35</v>
      </c>
      <c r="D256" s="1">
        <v>144.8</v>
      </c>
      <c r="E256" s="1">
        <v>167.5</v>
      </c>
      <c r="F256" s="1">
        <v>151.8</v>
      </c>
      <c r="G256" s="1">
        <v>150.8</v>
      </c>
      <c r="H256" s="1">
        <v>131.4</v>
      </c>
      <c r="I256" s="1">
        <v>141.8</v>
      </c>
      <c r="J256" s="1">
        <v>170.7</v>
      </c>
      <c r="K256" s="1">
        <v>141.1</v>
      </c>
      <c r="L256" s="1">
        <v>113.6</v>
      </c>
      <c r="M256" s="1">
        <v>152.0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</v>
      </c>
      <c r="S256" s="1">
        <v>141.7</v>
      </c>
      <c r="T256" s="1">
        <v>149.5</v>
      </c>
      <c r="U256" s="1">
        <v>154.8</v>
      </c>
      <c r="V256" s="1">
        <v>147.2</v>
      </c>
      <c r="W256" s="1">
        <v>146.4</v>
      </c>
      <c r="X256" s="1">
        <v>151.7</v>
      </c>
      <c r="Y256" s="1">
        <v>130.3</v>
      </c>
      <c r="Z256" s="1">
        <v>143.2</v>
      </c>
      <c r="AA256" s="1">
        <v>156.2</v>
      </c>
      <c r="AB256" s="1">
        <v>143.4</v>
      </c>
      <c r="AC256" s="1">
        <v>143.6</v>
      </c>
      <c r="AD256" s="1">
        <v>149.1</v>
      </c>
    </row>
    <row r="257" ht="14.25" customHeight="1">
      <c r="A257" s="1" t="s">
        <v>30</v>
      </c>
      <c r="B257" s="1">
        <v>2020.0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151.7</v>
      </c>
      <c r="H257" s="1">
        <v>133.3</v>
      </c>
      <c r="I257" s="1">
        <v>141.8</v>
      </c>
      <c r="J257" s="1">
        <v>152.3</v>
      </c>
      <c r="K257" s="1">
        <v>141.8</v>
      </c>
      <c r="L257" s="1">
        <v>112.6</v>
      </c>
      <c r="M257" s="1">
        <v>154.0</v>
      </c>
      <c r="N257" s="1">
        <v>140.1</v>
      </c>
      <c r="O257" s="1">
        <v>160.0</v>
      </c>
      <c r="P257" s="1">
        <v>148.2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156.7</v>
      </c>
      <c r="Y257" s="1">
        <v>135.8</v>
      </c>
      <c r="Z257" s="1">
        <v>151.2</v>
      </c>
      <c r="AA257" s="1">
        <v>161.2</v>
      </c>
      <c r="AB257" s="1">
        <v>145.1</v>
      </c>
      <c r="AC257" s="1">
        <v>148.6</v>
      </c>
      <c r="AD257" s="1">
        <v>149.8</v>
      </c>
    </row>
    <row r="258" ht="14.25" customHeight="1">
      <c r="A258" s="1" t="s">
        <v>33</v>
      </c>
      <c r="B258" s="1">
        <v>2020.0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</v>
      </c>
      <c r="J258" s="1">
        <v>167.0</v>
      </c>
      <c r="K258" s="1">
        <v>139.7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147.7</v>
      </c>
      <c r="S258" s="1">
        <v>133.8</v>
      </c>
      <c r="T258" s="1">
        <v>145.6</v>
      </c>
      <c r="U258" s="1">
        <v>154.5</v>
      </c>
      <c r="V258" s="1">
        <v>141.4</v>
      </c>
      <c r="W258" s="1">
        <v>140.8</v>
      </c>
      <c r="X258" s="1">
        <v>145.0</v>
      </c>
      <c r="Y258" s="1">
        <v>124.6</v>
      </c>
      <c r="Z258" s="1">
        <v>137.9</v>
      </c>
      <c r="AA258" s="1">
        <v>152.5</v>
      </c>
      <c r="AB258" s="1">
        <v>145.3</v>
      </c>
      <c r="AC258" s="1">
        <v>138.7</v>
      </c>
      <c r="AD258" s="1">
        <v>147.3</v>
      </c>
    </row>
    <row r="259" ht="14.25" customHeight="1">
      <c r="A259" s="1" t="s">
        <v>34</v>
      </c>
      <c r="B259" s="1">
        <v>2020.0</v>
      </c>
      <c r="C259" s="1" t="s">
        <v>36</v>
      </c>
      <c r="D259" s="1">
        <v>145.1</v>
      </c>
      <c r="E259" s="1">
        <v>167.0</v>
      </c>
      <c r="F259" s="1">
        <v>148.1</v>
      </c>
      <c r="G259" s="1">
        <v>151.5</v>
      </c>
      <c r="H259" s="1">
        <v>131.2</v>
      </c>
      <c r="I259" s="1">
        <v>142.5</v>
      </c>
      <c r="J259" s="1">
        <v>157.3</v>
      </c>
      <c r="K259" s="1">
        <v>141.1</v>
      </c>
      <c r="L259" s="1">
        <v>113.2</v>
      </c>
      <c r="M259" s="1">
        <v>153.2</v>
      </c>
      <c r="N259" s="1">
        <v>136.7</v>
      </c>
      <c r="O259" s="1">
        <v>159.6</v>
      </c>
      <c r="P259" s="1">
        <v>148.9</v>
      </c>
      <c r="Q259" s="1">
        <v>171.2</v>
      </c>
      <c r="R259" s="1">
        <v>151.2</v>
      </c>
      <c r="S259" s="1">
        <v>141.9</v>
      </c>
      <c r="T259" s="1">
        <v>149.8</v>
      </c>
      <c r="U259" s="1">
        <v>154.5</v>
      </c>
      <c r="V259" s="1">
        <v>148.9</v>
      </c>
      <c r="W259" s="1">
        <v>146.4</v>
      </c>
      <c r="X259" s="1">
        <v>152.3</v>
      </c>
      <c r="Y259" s="1">
        <v>129.9</v>
      </c>
      <c r="Z259" s="1">
        <v>143.7</v>
      </c>
      <c r="AA259" s="1">
        <v>156.1</v>
      </c>
      <c r="AB259" s="1">
        <v>145.2</v>
      </c>
      <c r="AC259" s="1">
        <v>143.8</v>
      </c>
      <c r="AD259" s="1">
        <v>148.6</v>
      </c>
    </row>
    <row r="260" ht="14.25" customHeight="1">
      <c r="A260" s="1" t="s">
        <v>30</v>
      </c>
      <c r="B260" s="1">
        <v>2020.0</v>
      </c>
      <c r="C260" s="1" t="s">
        <v>37</v>
      </c>
      <c r="D260" s="1">
        <v>147.2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</v>
      </c>
      <c r="J260" s="1">
        <v>162.7</v>
      </c>
      <c r="K260" s="1">
        <v>150.2</v>
      </c>
      <c r="L260" s="1">
        <v>119.8</v>
      </c>
      <c r="M260" s="1">
        <v>158.7</v>
      </c>
      <c r="N260" s="1">
        <v>139.2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 ht="14.25" customHeight="1">
      <c r="A261" s="1" t="s">
        <v>33</v>
      </c>
      <c r="B261" s="1">
        <v>2020.0</v>
      </c>
      <c r="C261" s="1" t="s">
        <v>37</v>
      </c>
      <c r="D261" s="1">
        <v>151.8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180.0</v>
      </c>
      <c r="K261" s="1">
        <v>150.8</v>
      </c>
      <c r="L261" s="1">
        <v>121.2</v>
      </c>
      <c r="M261" s="1">
        <v>154.0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 ht="14.25" customHeight="1">
      <c r="A262" s="1" t="s">
        <v>34</v>
      </c>
      <c r="B262" s="1">
        <v>2020.0</v>
      </c>
      <c r="C262" s="1" t="s">
        <v>37</v>
      </c>
      <c r="D262" s="1">
        <v>148.7</v>
      </c>
      <c r="E262" s="1" t="s">
        <v>32</v>
      </c>
      <c r="F262" s="1">
        <v>148.8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150.7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 ht="14.25" customHeight="1">
      <c r="A263" s="1" t="s">
        <v>30</v>
      </c>
      <c r="B263" s="1">
        <v>2020.0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 ht="14.25" customHeight="1">
      <c r="A264" s="1" t="s">
        <v>33</v>
      </c>
      <c r="B264" s="1">
        <v>2020.0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ht="14.25" customHeight="1">
      <c r="A265" s="1" t="s">
        <v>34</v>
      </c>
      <c r="B265" s="1">
        <v>2020.0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ht="14.25" customHeight="1">
      <c r="A266" s="1" t="s">
        <v>30</v>
      </c>
      <c r="B266" s="1">
        <v>2020.0</v>
      </c>
      <c r="C266" s="1" t="s">
        <v>39</v>
      </c>
      <c r="D266" s="1">
        <v>148.2</v>
      </c>
      <c r="E266" s="1">
        <v>190.3</v>
      </c>
      <c r="F266" s="1">
        <v>149.4</v>
      </c>
      <c r="G266" s="1">
        <v>153.3</v>
      </c>
      <c r="H266" s="1">
        <v>138.2</v>
      </c>
      <c r="I266" s="1">
        <v>143.2</v>
      </c>
      <c r="J266" s="1">
        <v>148.9</v>
      </c>
      <c r="K266" s="1">
        <v>150.3</v>
      </c>
      <c r="L266" s="1">
        <v>113.2</v>
      </c>
      <c r="M266" s="1">
        <v>159.8</v>
      </c>
      <c r="N266" s="1">
        <v>142.1</v>
      </c>
      <c r="O266" s="1">
        <v>161.8</v>
      </c>
      <c r="P266" s="1">
        <v>152.3</v>
      </c>
      <c r="Q266" s="1">
        <v>182.4</v>
      </c>
      <c r="R266" s="1">
        <v>154.7</v>
      </c>
      <c r="S266" s="1">
        <v>150.0</v>
      </c>
      <c r="T266" s="1">
        <v>154.1</v>
      </c>
      <c r="U266" s="1" t="s">
        <v>32</v>
      </c>
      <c r="V266" s="1">
        <v>144.9</v>
      </c>
      <c r="W266" s="1">
        <v>151.7</v>
      </c>
      <c r="X266" s="1">
        <v>158.2</v>
      </c>
      <c r="Y266" s="1">
        <v>141.4</v>
      </c>
      <c r="Z266" s="1">
        <v>153.2</v>
      </c>
      <c r="AA266" s="1">
        <v>161.8</v>
      </c>
      <c r="AB266" s="1">
        <v>151.2</v>
      </c>
      <c r="AC266" s="1">
        <v>151.7</v>
      </c>
      <c r="AD266" s="1">
        <v>152.7</v>
      </c>
    </row>
    <row r="267" ht="14.25" customHeight="1">
      <c r="A267" s="1" t="s">
        <v>33</v>
      </c>
      <c r="B267" s="1">
        <v>2020.0</v>
      </c>
      <c r="C267" s="1" t="s">
        <v>39</v>
      </c>
      <c r="D267" s="1">
        <v>152.7</v>
      </c>
      <c r="E267" s="1">
        <v>197.0</v>
      </c>
      <c r="F267" s="1">
        <v>154.6</v>
      </c>
      <c r="G267" s="1">
        <v>153.4</v>
      </c>
      <c r="H267" s="1">
        <v>132.9</v>
      </c>
      <c r="I267" s="1">
        <v>151.8</v>
      </c>
      <c r="J267" s="1">
        <v>171.2</v>
      </c>
      <c r="K267" s="1">
        <v>152.0</v>
      </c>
      <c r="L267" s="1">
        <v>116.3</v>
      </c>
      <c r="M267" s="1">
        <v>158.8</v>
      </c>
      <c r="N267" s="1">
        <v>135.6</v>
      </c>
      <c r="O267" s="1">
        <v>161.7</v>
      </c>
      <c r="P267" s="1">
        <v>157.0</v>
      </c>
      <c r="Q267" s="1">
        <v>186.7</v>
      </c>
      <c r="R267" s="1">
        <v>149.1</v>
      </c>
      <c r="S267" s="1">
        <v>136.6</v>
      </c>
      <c r="T267" s="1">
        <v>147.2</v>
      </c>
      <c r="U267" s="1">
        <v>154.7</v>
      </c>
      <c r="V267" s="1">
        <v>137.1</v>
      </c>
      <c r="W267" s="1">
        <v>140.4</v>
      </c>
      <c r="X267" s="1">
        <v>148.1</v>
      </c>
      <c r="Y267" s="1">
        <v>129.3</v>
      </c>
      <c r="Z267" s="1">
        <v>144.5</v>
      </c>
      <c r="AA267" s="1">
        <v>152.5</v>
      </c>
      <c r="AB267" s="1">
        <v>152.2</v>
      </c>
      <c r="AC267" s="1">
        <v>142.0</v>
      </c>
      <c r="AD267" s="1">
        <v>150.8</v>
      </c>
    </row>
    <row r="268" ht="14.25" customHeight="1">
      <c r="A268" s="1" t="s">
        <v>34</v>
      </c>
      <c r="B268" s="1">
        <v>2020.0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</v>
      </c>
      <c r="H268" s="1">
        <v>136.3</v>
      </c>
      <c r="I268" s="1">
        <v>147.2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</v>
      </c>
      <c r="P268" s="1">
        <v>154.0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154.7</v>
      </c>
      <c r="V268" s="1">
        <v>141.9</v>
      </c>
      <c r="W268" s="1">
        <v>146.4</v>
      </c>
      <c r="X268" s="1">
        <v>154.4</v>
      </c>
      <c r="Y268" s="1">
        <v>135.0</v>
      </c>
      <c r="Z268" s="1">
        <v>148.3</v>
      </c>
      <c r="AA268" s="1">
        <v>156.4</v>
      </c>
      <c r="AB268" s="1">
        <v>151.6</v>
      </c>
      <c r="AC268" s="1">
        <v>147.0</v>
      </c>
      <c r="AD268" s="1">
        <v>151.8</v>
      </c>
    </row>
    <row r="269" ht="14.25" customHeight="1">
      <c r="A269" s="1" t="s">
        <v>30</v>
      </c>
      <c r="B269" s="1">
        <v>2020.0</v>
      </c>
      <c r="C269" s="1" t="s">
        <v>40</v>
      </c>
      <c r="D269" s="1">
        <v>148.2</v>
      </c>
      <c r="E269" s="1">
        <v>190.3</v>
      </c>
      <c r="F269" s="1">
        <v>149.4</v>
      </c>
      <c r="G269" s="1">
        <v>153.3</v>
      </c>
      <c r="H269" s="1">
        <v>138.2</v>
      </c>
      <c r="I269" s="1">
        <v>143.2</v>
      </c>
      <c r="J269" s="1">
        <v>148.9</v>
      </c>
      <c r="K269" s="1">
        <v>150.3</v>
      </c>
      <c r="L269" s="1">
        <v>113.2</v>
      </c>
      <c r="M269" s="1">
        <v>159.8</v>
      </c>
      <c r="N269" s="1">
        <v>142.1</v>
      </c>
      <c r="O269" s="1">
        <v>161.8</v>
      </c>
      <c r="P269" s="1">
        <v>152.3</v>
      </c>
      <c r="Q269" s="1">
        <v>182.4</v>
      </c>
      <c r="R269" s="1">
        <v>154.7</v>
      </c>
      <c r="S269" s="1">
        <v>150.0</v>
      </c>
      <c r="T269" s="1">
        <v>154.1</v>
      </c>
      <c r="U269" s="1" t="s">
        <v>32</v>
      </c>
      <c r="V269" s="1">
        <v>144.9</v>
      </c>
      <c r="W269" s="1">
        <v>151.7</v>
      </c>
      <c r="X269" s="1">
        <v>158.2</v>
      </c>
      <c r="Y269" s="1">
        <v>141.4</v>
      </c>
      <c r="Z269" s="1">
        <v>153.2</v>
      </c>
      <c r="AA269" s="1">
        <v>161.8</v>
      </c>
      <c r="AB269" s="1">
        <v>151.2</v>
      </c>
      <c r="AC269" s="1">
        <v>151.7</v>
      </c>
      <c r="AD269" s="1">
        <v>152.7</v>
      </c>
    </row>
    <row r="270" ht="14.25" customHeight="1">
      <c r="A270" s="1" t="s">
        <v>33</v>
      </c>
      <c r="B270" s="1">
        <v>2020.0</v>
      </c>
      <c r="C270" s="1" t="s">
        <v>40</v>
      </c>
      <c r="D270" s="1">
        <v>152.7</v>
      </c>
      <c r="E270" s="1">
        <v>197.0</v>
      </c>
      <c r="F270" s="1">
        <v>154.6</v>
      </c>
      <c r="G270" s="1">
        <v>153.4</v>
      </c>
      <c r="H270" s="1">
        <v>132.9</v>
      </c>
      <c r="I270" s="1">
        <v>151.8</v>
      </c>
      <c r="J270" s="1">
        <v>171.2</v>
      </c>
      <c r="K270" s="1">
        <v>152.0</v>
      </c>
      <c r="L270" s="1">
        <v>116.3</v>
      </c>
      <c r="M270" s="1">
        <v>158.8</v>
      </c>
      <c r="N270" s="1">
        <v>135.6</v>
      </c>
      <c r="O270" s="1">
        <v>161.7</v>
      </c>
      <c r="P270" s="1">
        <v>157.0</v>
      </c>
      <c r="Q270" s="1">
        <v>186.7</v>
      </c>
      <c r="R270" s="1">
        <v>149.1</v>
      </c>
      <c r="S270" s="1">
        <v>136.6</v>
      </c>
      <c r="T270" s="1">
        <v>147.2</v>
      </c>
      <c r="U270" s="1">
        <v>154.7</v>
      </c>
      <c r="V270" s="1">
        <v>137.1</v>
      </c>
      <c r="W270" s="1">
        <v>140.4</v>
      </c>
      <c r="X270" s="1">
        <v>148.1</v>
      </c>
      <c r="Y270" s="1">
        <v>129.3</v>
      </c>
      <c r="Z270" s="1">
        <v>144.5</v>
      </c>
      <c r="AA270" s="1">
        <v>152.5</v>
      </c>
      <c r="AB270" s="1">
        <v>152.2</v>
      </c>
      <c r="AC270" s="1">
        <v>142.0</v>
      </c>
      <c r="AD270" s="1">
        <v>150.8</v>
      </c>
    </row>
    <row r="271" ht="14.25" customHeight="1">
      <c r="A271" s="1" t="s">
        <v>34</v>
      </c>
      <c r="B271" s="1">
        <v>2020.0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</v>
      </c>
      <c r="H271" s="1">
        <v>136.3</v>
      </c>
      <c r="I271" s="1">
        <v>147.2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</v>
      </c>
      <c r="P271" s="1">
        <v>154.0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154.7</v>
      </c>
      <c r="V271" s="1">
        <v>141.9</v>
      </c>
      <c r="W271" s="1">
        <v>146.4</v>
      </c>
      <c r="X271" s="1">
        <v>154.4</v>
      </c>
      <c r="Y271" s="1">
        <v>135.0</v>
      </c>
      <c r="Z271" s="1">
        <v>148.3</v>
      </c>
      <c r="AA271" s="1">
        <v>156.4</v>
      </c>
      <c r="AB271" s="1">
        <v>151.6</v>
      </c>
      <c r="AC271" s="1">
        <v>147.0</v>
      </c>
      <c r="AD271" s="1">
        <v>151.8</v>
      </c>
    </row>
    <row r="272" ht="14.25" customHeight="1">
      <c r="A272" s="1" t="s">
        <v>30</v>
      </c>
      <c r="B272" s="1">
        <v>2020.0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</v>
      </c>
      <c r="H272" s="1">
        <v>139.8</v>
      </c>
      <c r="I272" s="1">
        <v>146.9</v>
      </c>
      <c r="J272" s="1">
        <v>171.0</v>
      </c>
      <c r="K272" s="1">
        <v>149.9</v>
      </c>
      <c r="L272" s="1">
        <v>114.2</v>
      </c>
      <c r="M272" s="1">
        <v>160.0</v>
      </c>
      <c r="N272" s="1">
        <v>143.5</v>
      </c>
      <c r="O272" s="1">
        <v>161.5</v>
      </c>
      <c r="P272" s="1">
        <v>155.3</v>
      </c>
      <c r="Q272" s="1">
        <v>180.9</v>
      </c>
      <c r="R272" s="1">
        <v>155.1</v>
      </c>
      <c r="S272" s="1">
        <v>149.3</v>
      </c>
      <c r="T272" s="1">
        <v>154.3</v>
      </c>
      <c r="U272" s="1" t="s">
        <v>32</v>
      </c>
      <c r="V272" s="1">
        <v>145.8</v>
      </c>
      <c r="W272" s="1">
        <v>151.9</v>
      </c>
      <c r="X272" s="1">
        <v>158.8</v>
      </c>
      <c r="Y272" s="1">
        <v>143.6</v>
      </c>
      <c r="Z272" s="1">
        <v>152.2</v>
      </c>
      <c r="AA272" s="1">
        <v>162.7</v>
      </c>
      <c r="AB272" s="1">
        <v>153.6</v>
      </c>
      <c r="AC272" s="1">
        <v>153.0</v>
      </c>
      <c r="AD272" s="1">
        <v>154.7</v>
      </c>
    </row>
    <row r="273" ht="14.25" customHeight="1">
      <c r="A273" s="1" t="s">
        <v>33</v>
      </c>
      <c r="B273" s="1">
        <v>2020.0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</v>
      </c>
      <c r="L273" s="1">
        <v>116.8</v>
      </c>
      <c r="M273" s="1">
        <v>160.0</v>
      </c>
      <c r="N273" s="1">
        <v>136.5</v>
      </c>
      <c r="O273" s="1">
        <v>163.3</v>
      </c>
      <c r="P273" s="1">
        <v>159.9</v>
      </c>
      <c r="Q273" s="1">
        <v>187.2</v>
      </c>
      <c r="R273" s="1">
        <v>150.0</v>
      </c>
      <c r="S273" s="1">
        <v>135.2</v>
      </c>
      <c r="T273" s="1">
        <v>147.8</v>
      </c>
      <c r="U273" s="1">
        <v>155.5</v>
      </c>
      <c r="V273" s="1">
        <v>138.3</v>
      </c>
      <c r="W273" s="1">
        <v>144.5</v>
      </c>
      <c r="X273" s="1">
        <v>148.7</v>
      </c>
      <c r="Y273" s="1">
        <v>133.9</v>
      </c>
      <c r="Z273" s="1">
        <v>141.2</v>
      </c>
      <c r="AA273" s="1">
        <v>155.5</v>
      </c>
      <c r="AB273" s="1">
        <v>155.2</v>
      </c>
      <c r="AC273" s="1">
        <v>144.8</v>
      </c>
      <c r="AD273" s="1">
        <v>152.9</v>
      </c>
    </row>
    <row r="274" ht="14.25" customHeight="1">
      <c r="A274" s="1" t="s">
        <v>34</v>
      </c>
      <c r="B274" s="1">
        <v>2020.0</v>
      </c>
      <c r="C274" s="1" t="s">
        <v>41</v>
      </c>
      <c r="D274" s="1">
        <v>148.9</v>
      </c>
      <c r="E274" s="1">
        <v>190.9</v>
      </c>
      <c r="F274" s="1">
        <v>150.8</v>
      </c>
      <c r="G274" s="1">
        <v>153.3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160.0</v>
      </c>
      <c r="N274" s="1">
        <v>140.6</v>
      </c>
      <c r="O274" s="1">
        <v>162.3</v>
      </c>
      <c r="P274" s="1">
        <v>157.0</v>
      </c>
      <c r="Q274" s="1">
        <v>182.6</v>
      </c>
      <c r="R274" s="1">
        <v>153.1</v>
      </c>
      <c r="S274" s="1">
        <v>143.4</v>
      </c>
      <c r="T274" s="1">
        <v>151.7</v>
      </c>
      <c r="U274" s="1">
        <v>155.5</v>
      </c>
      <c r="V274" s="1">
        <v>143.0</v>
      </c>
      <c r="W274" s="1">
        <v>148.4</v>
      </c>
      <c r="X274" s="1">
        <v>155.0</v>
      </c>
      <c r="Y274" s="1">
        <v>138.5</v>
      </c>
      <c r="Z274" s="1">
        <v>146.0</v>
      </c>
      <c r="AA274" s="1">
        <v>158.5</v>
      </c>
      <c r="AB274" s="1">
        <v>154.3</v>
      </c>
      <c r="AC274" s="1">
        <v>149.0</v>
      </c>
      <c r="AD274" s="1">
        <v>153.9</v>
      </c>
    </row>
    <row r="275" ht="14.25" customHeight="1">
      <c r="A275" s="1" t="s">
        <v>30</v>
      </c>
      <c r="B275" s="1">
        <v>2020.0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147.0</v>
      </c>
      <c r="J275" s="1">
        <v>178.8</v>
      </c>
      <c r="K275" s="1">
        <v>149.3</v>
      </c>
      <c r="L275" s="1">
        <v>115.1</v>
      </c>
      <c r="M275" s="1">
        <v>160.0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</v>
      </c>
      <c r="AA275" s="1">
        <v>161.1</v>
      </c>
      <c r="AB275" s="1">
        <v>157.4</v>
      </c>
      <c r="AC275" s="1">
        <v>153.7</v>
      </c>
      <c r="AD275" s="1">
        <v>155.4</v>
      </c>
    </row>
    <row r="276" ht="14.25" customHeight="1">
      <c r="A276" s="1" t="s">
        <v>33</v>
      </c>
      <c r="B276" s="1">
        <v>2020.0</v>
      </c>
      <c r="C276" s="1" t="s">
        <v>42</v>
      </c>
      <c r="D276" s="1">
        <v>151.5</v>
      </c>
      <c r="E276" s="1">
        <v>193.1</v>
      </c>
      <c r="F276" s="1">
        <v>157.3</v>
      </c>
      <c r="G276" s="1">
        <v>153.9</v>
      </c>
      <c r="H276" s="1">
        <v>134.4</v>
      </c>
      <c r="I276" s="1">
        <v>155.4</v>
      </c>
      <c r="J276" s="1">
        <v>202.0</v>
      </c>
      <c r="K276" s="1">
        <v>150.8</v>
      </c>
      <c r="L276" s="1">
        <v>118.9</v>
      </c>
      <c r="M276" s="1">
        <v>160.9</v>
      </c>
      <c r="N276" s="1">
        <v>137.7</v>
      </c>
      <c r="O276" s="1">
        <v>164.4</v>
      </c>
      <c r="P276" s="1">
        <v>161.3</v>
      </c>
      <c r="Q276" s="1">
        <v>188.7</v>
      </c>
      <c r="R276" s="1">
        <v>150.2</v>
      </c>
      <c r="S276" s="1">
        <v>136.3</v>
      </c>
      <c r="T276" s="1">
        <v>148.1</v>
      </c>
      <c r="U276" s="1">
        <v>156.3</v>
      </c>
      <c r="V276" s="1">
        <v>137.2</v>
      </c>
      <c r="W276" s="1">
        <v>145.4</v>
      </c>
      <c r="X276" s="1">
        <v>150.0</v>
      </c>
      <c r="Y276" s="1">
        <v>135.1</v>
      </c>
      <c r="Z276" s="1">
        <v>141.8</v>
      </c>
      <c r="AA276" s="1">
        <v>154.9</v>
      </c>
      <c r="AB276" s="1">
        <v>159.8</v>
      </c>
      <c r="AC276" s="1">
        <v>146.0</v>
      </c>
      <c r="AD276" s="1">
        <v>154.0</v>
      </c>
    </row>
    <row r="277" ht="14.25" customHeight="1">
      <c r="A277" s="1" t="s">
        <v>34</v>
      </c>
      <c r="B277" s="1">
        <v>2020.0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138.2</v>
      </c>
      <c r="I277" s="1">
        <v>150.9</v>
      </c>
      <c r="J277" s="1">
        <v>186.7</v>
      </c>
      <c r="K277" s="1">
        <v>149.8</v>
      </c>
      <c r="L277" s="1">
        <v>116.4</v>
      </c>
      <c r="M277" s="1">
        <v>160.3</v>
      </c>
      <c r="N277" s="1">
        <v>142.2</v>
      </c>
      <c r="O277" s="1">
        <v>162.9</v>
      </c>
      <c r="P277" s="1">
        <v>158.0</v>
      </c>
      <c r="Q277" s="1">
        <v>184.4</v>
      </c>
      <c r="R277" s="1">
        <v>153.4</v>
      </c>
      <c r="S277" s="1">
        <v>144.3</v>
      </c>
      <c r="T277" s="1">
        <v>152.0</v>
      </c>
      <c r="U277" s="1">
        <v>156.3</v>
      </c>
      <c r="V277" s="1">
        <v>142.9</v>
      </c>
      <c r="W277" s="1">
        <v>148.7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150.0</v>
      </c>
      <c r="AD277" s="1">
        <v>154.7</v>
      </c>
    </row>
    <row r="278" ht="14.25" customHeight="1">
      <c r="A278" s="1" t="s">
        <v>30</v>
      </c>
      <c r="B278" s="1">
        <v>2020.0</v>
      </c>
      <c r="C278" s="1" t="s">
        <v>43</v>
      </c>
      <c r="D278" s="1">
        <v>146.0</v>
      </c>
      <c r="E278" s="1">
        <v>186.3</v>
      </c>
      <c r="F278" s="1">
        <v>159.2</v>
      </c>
      <c r="G278" s="1">
        <v>153.6</v>
      </c>
      <c r="H278" s="1">
        <v>142.6</v>
      </c>
      <c r="I278" s="1">
        <v>147.2</v>
      </c>
      <c r="J278" s="1">
        <v>200.6</v>
      </c>
      <c r="K278" s="1">
        <v>150.3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155.7</v>
      </c>
      <c r="S278" s="1">
        <v>150.6</v>
      </c>
      <c r="T278" s="1">
        <v>155.0</v>
      </c>
      <c r="U278" s="1" t="s">
        <v>32</v>
      </c>
      <c r="V278" s="1">
        <v>146.8</v>
      </c>
      <c r="W278" s="1">
        <v>152.0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156.2</v>
      </c>
      <c r="AC278" s="1">
        <v>154.3</v>
      </c>
      <c r="AD278" s="1">
        <v>157.5</v>
      </c>
    </row>
    <row r="279" ht="14.25" customHeight="1">
      <c r="A279" s="1" t="s">
        <v>33</v>
      </c>
      <c r="B279" s="1">
        <v>2020.0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153.7</v>
      </c>
      <c r="H279" s="1">
        <v>135.7</v>
      </c>
      <c r="I279" s="1">
        <v>155.7</v>
      </c>
      <c r="J279" s="1">
        <v>226.0</v>
      </c>
      <c r="K279" s="1">
        <v>152.2</v>
      </c>
      <c r="L279" s="1">
        <v>118.1</v>
      </c>
      <c r="M279" s="1">
        <v>161.3</v>
      </c>
      <c r="N279" s="1">
        <v>139.2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</v>
      </c>
      <c r="U279" s="1">
        <v>156.5</v>
      </c>
      <c r="V279" s="1">
        <v>137.1</v>
      </c>
      <c r="W279" s="1">
        <v>145.1</v>
      </c>
      <c r="X279" s="1">
        <v>151.0</v>
      </c>
      <c r="Y279" s="1">
        <v>135.4</v>
      </c>
      <c r="Z279" s="1">
        <v>142.0</v>
      </c>
      <c r="AA279" s="1">
        <v>155.7</v>
      </c>
      <c r="AB279" s="1">
        <v>158.1</v>
      </c>
      <c r="AC279" s="1">
        <v>146.2</v>
      </c>
      <c r="AD279" s="1">
        <v>155.2</v>
      </c>
    </row>
    <row r="280" ht="14.25" customHeight="1">
      <c r="A280" s="1" t="s">
        <v>34</v>
      </c>
      <c r="B280" s="1">
        <v>2020.0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151.2</v>
      </c>
      <c r="J280" s="1">
        <v>209.2</v>
      </c>
      <c r="K280" s="1">
        <v>150.9</v>
      </c>
      <c r="L280" s="1">
        <v>116.2</v>
      </c>
      <c r="M280" s="1">
        <v>161.0</v>
      </c>
      <c r="N280" s="1">
        <v>144.0</v>
      </c>
      <c r="O280" s="1">
        <v>163.2</v>
      </c>
      <c r="P280" s="1">
        <v>161.4</v>
      </c>
      <c r="Q280" s="1">
        <v>184.3</v>
      </c>
      <c r="R280" s="1">
        <v>153.7</v>
      </c>
      <c r="S280" s="1">
        <v>144.6</v>
      </c>
      <c r="T280" s="1">
        <v>152.3</v>
      </c>
      <c r="U280" s="1">
        <v>156.5</v>
      </c>
      <c r="V280" s="1">
        <v>143.1</v>
      </c>
      <c r="W280" s="1">
        <v>148.7</v>
      </c>
      <c r="X280" s="1">
        <v>156.3</v>
      </c>
      <c r="Y280" s="1">
        <v>140.6</v>
      </c>
      <c r="Z280" s="1">
        <v>146.5</v>
      </c>
      <c r="AA280" s="1">
        <v>158.5</v>
      </c>
      <c r="AB280" s="1">
        <v>157.0</v>
      </c>
      <c r="AC280" s="1">
        <v>150.4</v>
      </c>
      <c r="AD280" s="1">
        <v>156.4</v>
      </c>
    </row>
    <row r="281" ht="14.25" customHeight="1">
      <c r="A281" s="1" t="s">
        <v>30</v>
      </c>
      <c r="B281" s="1">
        <v>2020.0</v>
      </c>
      <c r="C281" s="1" t="s">
        <v>45</v>
      </c>
      <c r="D281" s="1">
        <v>145.4</v>
      </c>
      <c r="E281" s="1">
        <v>188.6</v>
      </c>
      <c r="F281" s="1">
        <v>171.6</v>
      </c>
      <c r="G281" s="1">
        <v>153.8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162.0</v>
      </c>
      <c r="N281" s="1">
        <v>150.0</v>
      </c>
      <c r="O281" s="1">
        <v>162.7</v>
      </c>
      <c r="P281" s="1">
        <v>163.4</v>
      </c>
      <c r="Q281" s="1">
        <v>183.4</v>
      </c>
      <c r="R281" s="1">
        <v>156.3</v>
      </c>
      <c r="S281" s="1">
        <v>151.0</v>
      </c>
      <c r="T281" s="1">
        <v>155.5</v>
      </c>
      <c r="U281" s="1" t="s">
        <v>32</v>
      </c>
      <c r="V281" s="1">
        <v>147.5</v>
      </c>
      <c r="W281" s="1">
        <v>152.8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156.2</v>
      </c>
      <c r="AC281" s="1">
        <v>154.5</v>
      </c>
      <c r="AD281" s="1">
        <v>159.8</v>
      </c>
    </row>
    <row r="282" ht="14.25" customHeight="1">
      <c r="A282" s="1" t="s">
        <v>33</v>
      </c>
      <c r="B282" s="1">
        <v>2020.0</v>
      </c>
      <c r="C282" s="1" t="s">
        <v>45</v>
      </c>
      <c r="D282" s="1">
        <v>149.7</v>
      </c>
      <c r="E282" s="1">
        <v>195.5</v>
      </c>
      <c r="F282" s="1">
        <v>176.9</v>
      </c>
      <c r="G282" s="1">
        <v>153.9</v>
      </c>
      <c r="H282" s="1">
        <v>138.0</v>
      </c>
      <c r="I282" s="1">
        <v>150.5</v>
      </c>
      <c r="J282" s="1">
        <v>245.3</v>
      </c>
      <c r="K282" s="1">
        <v>158.7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167.0</v>
      </c>
      <c r="Q282" s="1">
        <v>188.8</v>
      </c>
      <c r="R282" s="1">
        <v>151.1</v>
      </c>
      <c r="S282" s="1">
        <v>136.4</v>
      </c>
      <c r="T282" s="1">
        <v>148.8</v>
      </c>
      <c r="U282" s="1">
        <v>158.0</v>
      </c>
      <c r="V282" s="1">
        <v>137.3</v>
      </c>
      <c r="W282" s="1">
        <v>145.1</v>
      </c>
      <c r="X282" s="1">
        <v>152.0</v>
      </c>
      <c r="Y282" s="1">
        <v>135.2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156.7</v>
      </c>
    </row>
    <row r="283" ht="14.25" customHeight="1">
      <c r="A283" s="1" t="s">
        <v>34</v>
      </c>
      <c r="B283" s="1">
        <v>2020.0</v>
      </c>
      <c r="C283" s="1" t="s">
        <v>45</v>
      </c>
      <c r="D283" s="1">
        <v>146.8</v>
      </c>
      <c r="E283" s="1">
        <v>191.0</v>
      </c>
      <c r="F283" s="1">
        <v>173.6</v>
      </c>
      <c r="G283" s="1">
        <v>153.8</v>
      </c>
      <c r="H283" s="1">
        <v>142.7</v>
      </c>
      <c r="I283" s="1">
        <v>148.4</v>
      </c>
      <c r="J283" s="1">
        <v>230.0</v>
      </c>
      <c r="K283" s="1">
        <v>156.8</v>
      </c>
      <c r="L283" s="1">
        <v>115.7</v>
      </c>
      <c r="M283" s="1">
        <v>161.8</v>
      </c>
      <c r="N283" s="1">
        <v>146.5</v>
      </c>
      <c r="O283" s="1">
        <v>163.8</v>
      </c>
      <c r="P283" s="1">
        <v>164.7</v>
      </c>
      <c r="Q283" s="1">
        <v>184.8</v>
      </c>
      <c r="R283" s="1">
        <v>154.3</v>
      </c>
      <c r="S283" s="1">
        <v>144.9</v>
      </c>
      <c r="T283" s="1">
        <v>152.8</v>
      </c>
      <c r="U283" s="1">
        <v>158.0</v>
      </c>
      <c r="V283" s="1">
        <v>143.6</v>
      </c>
      <c r="W283" s="1">
        <v>149.2</v>
      </c>
      <c r="X283" s="1">
        <v>157.2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150.7</v>
      </c>
      <c r="AD283" s="1">
        <v>158.4</v>
      </c>
    </row>
    <row r="284" ht="14.25" customHeight="1">
      <c r="A284" s="1" t="s">
        <v>30</v>
      </c>
      <c r="B284" s="1">
        <v>2020.0</v>
      </c>
      <c r="C284" s="1" t="s">
        <v>46</v>
      </c>
      <c r="D284" s="1">
        <v>144.6</v>
      </c>
      <c r="E284" s="1">
        <v>188.5</v>
      </c>
      <c r="F284" s="1">
        <v>173.4</v>
      </c>
      <c r="G284" s="1">
        <v>154.0</v>
      </c>
      <c r="H284" s="1">
        <v>150.0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157.0</v>
      </c>
      <c r="S284" s="1">
        <v>151.6</v>
      </c>
      <c r="T284" s="1">
        <v>156.3</v>
      </c>
      <c r="U284" s="1" t="s">
        <v>32</v>
      </c>
      <c r="V284" s="1">
        <v>148.7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155.2</v>
      </c>
      <c r="AD284" s="1">
        <v>160.7</v>
      </c>
    </row>
    <row r="285" ht="14.25" customHeight="1">
      <c r="A285" s="1" t="s">
        <v>33</v>
      </c>
      <c r="B285" s="1">
        <v>2020.0</v>
      </c>
      <c r="C285" s="1" t="s">
        <v>46</v>
      </c>
      <c r="D285" s="1">
        <v>149.0</v>
      </c>
      <c r="E285" s="1">
        <v>195.7</v>
      </c>
      <c r="F285" s="1">
        <v>178.3</v>
      </c>
      <c r="G285" s="1">
        <v>154.2</v>
      </c>
      <c r="H285" s="1">
        <v>140.7</v>
      </c>
      <c r="I285" s="1">
        <v>149.7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</v>
      </c>
      <c r="O285" s="1">
        <v>166.1</v>
      </c>
      <c r="P285" s="1">
        <v>167.0</v>
      </c>
      <c r="Q285" s="1">
        <v>190.2</v>
      </c>
      <c r="R285" s="1">
        <v>151.9</v>
      </c>
      <c r="S285" s="1">
        <v>136.7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</v>
      </c>
      <c r="AA285" s="1">
        <v>156.9</v>
      </c>
      <c r="AB285" s="1">
        <v>157.9</v>
      </c>
      <c r="AC285" s="1">
        <v>146.9</v>
      </c>
      <c r="AD285" s="1">
        <v>156.9</v>
      </c>
    </row>
    <row r="286" ht="14.25" customHeight="1">
      <c r="A286" s="1" t="s">
        <v>34</v>
      </c>
      <c r="B286" s="1">
        <v>2020.0</v>
      </c>
      <c r="C286" s="1" t="s">
        <v>46</v>
      </c>
      <c r="D286" s="1">
        <v>146.0</v>
      </c>
      <c r="E286" s="1">
        <v>191.0</v>
      </c>
      <c r="F286" s="1">
        <v>175.3</v>
      </c>
      <c r="G286" s="1">
        <v>154.1</v>
      </c>
      <c r="H286" s="1">
        <v>146.6</v>
      </c>
      <c r="I286" s="1">
        <v>147.7</v>
      </c>
      <c r="J286" s="1">
        <v>230.5</v>
      </c>
      <c r="K286" s="1">
        <v>160.2</v>
      </c>
      <c r="L286" s="1">
        <v>115.3</v>
      </c>
      <c r="M286" s="1">
        <v>163.0</v>
      </c>
      <c r="N286" s="1">
        <v>149.2</v>
      </c>
      <c r="O286" s="1">
        <v>164.8</v>
      </c>
      <c r="P286" s="1">
        <v>165.4</v>
      </c>
      <c r="Q286" s="1">
        <v>185.4</v>
      </c>
      <c r="R286" s="1">
        <v>155.0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149.7</v>
      </c>
      <c r="X286" s="1">
        <v>158.3</v>
      </c>
      <c r="Y286" s="1">
        <v>140.7</v>
      </c>
      <c r="Z286" s="1">
        <v>148.5</v>
      </c>
      <c r="AA286" s="1">
        <v>159.4</v>
      </c>
      <c r="AB286" s="1">
        <v>157.1</v>
      </c>
      <c r="AC286" s="1">
        <v>151.2</v>
      </c>
      <c r="AD286" s="1">
        <v>158.9</v>
      </c>
    </row>
    <row r="287" ht="14.25" customHeight="1">
      <c r="A287" s="1" t="s">
        <v>30</v>
      </c>
      <c r="B287" s="1">
        <v>2021.0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154.0</v>
      </c>
      <c r="H287" s="1">
        <v>154.8</v>
      </c>
      <c r="I287" s="1">
        <v>147.0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156.2</v>
      </c>
      <c r="AC287" s="1">
        <v>155.9</v>
      </c>
      <c r="AD287" s="1">
        <v>158.5</v>
      </c>
    </row>
    <row r="288" ht="14.25" customHeight="1">
      <c r="A288" s="1" t="s">
        <v>33</v>
      </c>
      <c r="B288" s="1">
        <v>2021.0</v>
      </c>
      <c r="C288" s="1" t="s">
        <v>31</v>
      </c>
      <c r="D288" s="1">
        <v>148.0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163.0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</v>
      </c>
      <c r="T288" s="1">
        <v>150.2</v>
      </c>
      <c r="U288" s="1">
        <v>157.7</v>
      </c>
      <c r="V288" s="1">
        <v>142.9</v>
      </c>
      <c r="W288" s="1">
        <v>145.7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157.7</v>
      </c>
      <c r="AC288" s="1">
        <v>147.6</v>
      </c>
      <c r="AD288" s="1">
        <v>156.0</v>
      </c>
    </row>
    <row r="289" ht="14.25" customHeight="1">
      <c r="A289" s="1" t="s">
        <v>34</v>
      </c>
      <c r="B289" s="1">
        <v>2021.0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164.0</v>
      </c>
      <c r="N289" s="1">
        <v>151.8</v>
      </c>
      <c r="O289" s="1">
        <v>165.6</v>
      </c>
      <c r="P289" s="1">
        <v>161.0</v>
      </c>
      <c r="Q289" s="1">
        <v>186.5</v>
      </c>
      <c r="R289" s="1">
        <v>155.5</v>
      </c>
      <c r="S289" s="1">
        <v>146.1</v>
      </c>
      <c r="T289" s="1">
        <v>154.2</v>
      </c>
      <c r="U289" s="1">
        <v>157.7</v>
      </c>
      <c r="V289" s="1">
        <v>147.9</v>
      </c>
      <c r="W289" s="1">
        <v>150.0</v>
      </c>
      <c r="X289" s="1">
        <v>159.3</v>
      </c>
      <c r="Y289" s="1">
        <v>141.9</v>
      </c>
      <c r="Z289" s="1">
        <v>149.6</v>
      </c>
      <c r="AA289" s="1">
        <v>159.2</v>
      </c>
      <c r="AB289" s="1">
        <v>156.8</v>
      </c>
      <c r="AC289" s="1">
        <v>151.9</v>
      </c>
      <c r="AD289" s="1">
        <v>157.3</v>
      </c>
    </row>
    <row r="290" ht="14.25" customHeight="1">
      <c r="A290" s="1" t="s">
        <v>30</v>
      </c>
      <c r="B290" s="1">
        <v>2021.0</v>
      </c>
      <c r="C290" s="1" t="s">
        <v>35</v>
      </c>
      <c r="D290" s="1">
        <v>142.8</v>
      </c>
      <c r="E290" s="1">
        <v>184.0</v>
      </c>
      <c r="F290" s="1">
        <v>168.0</v>
      </c>
      <c r="G290" s="1">
        <v>154.4</v>
      </c>
      <c r="H290" s="1">
        <v>163.0</v>
      </c>
      <c r="I290" s="1">
        <v>147.8</v>
      </c>
      <c r="J290" s="1">
        <v>149.7</v>
      </c>
      <c r="K290" s="1">
        <v>158.3</v>
      </c>
      <c r="L290" s="1">
        <v>111.8</v>
      </c>
      <c r="M290" s="1">
        <v>165.0</v>
      </c>
      <c r="N290" s="1">
        <v>160.0</v>
      </c>
      <c r="O290" s="1">
        <v>165.8</v>
      </c>
      <c r="P290" s="1">
        <v>154.7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</v>
      </c>
      <c r="X290" s="1">
        <v>164.3</v>
      </c>
      <c r="Y290" s="1">
        <v>150.2</v>
      </c>
      <c r="Z290" s="1">
        <v>157.0</v>
      </c>
      <c r="AA290" s="1">
        <v>163.6</v>
      </c>
      <c r="AB290" s="1">
        <v>155.2</v>
      </c>
      <c r="AC290" s="1">
        <v>157.2</v>
      </c>
      <c r="AD290" s="1">
        <v>156.7</v>
      </c>
    </row>
    <row r="291" ht="14.25" customHeight="1">
      <c r="A291" s="1" t="s">
        <v>33</v>
      </c>
      <c r="B291" s="1">
        <v>2021.0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154.0</v>
      </c>
      <c r="J291" s="1">
        <v>180.2</v>
      </c>
      <c r="K291" s="1">
        <v>159.8</v>
      </c>
      <c r="L291" s="1">
        <v>114.9</v>
      </c>
      <c r="M291" s="1">
        <v>162.5</v>
      </c>
      <c r="N291" s="1">
        <v>149.2</v>
      </c>
      <c r="O291" s="1">
        <v>169.4</v>
      </c>
      <c r="P291" s="1">
        <v>160.8</v>
      </c>
      <c r="Q291" s="1">
        <v>193.3</v>
      </c>
      <c r="R291" s="1">
        <v>154.2</v>
      </c>
      <c r="S291" s="1">
        <v>138.2</v>
      </c>
      <c r="T291" s="1">
        <v>151.8</v>
      </c>
      <c r="U291" s="1">
        <v>159.8</v>
      </c>
      <c r="V291" s="1">
        <v>149.1</v>
      </c>
      <c r="W291" s="1">
        <v>146.5</v>
      </c>
      <c r="X291" s="1">
        <v>156.3</v>
      </c>
      <c r="Y291" s="1">
        <v>140.5</v>
      </c>
      <c r="Z291" s="1">
        <v>147.3</v>
      </c>
      <c r="AA291" s="1">
        <v>156.6</v>
      </c>
      <c r="AB291" s="1">
        <v>156.7</v>
      </c>
      <c r="AC291" s="1">
        <v>149.3</v>
      </c>
      <c r="AD291" s="1">
        <v>156.5</v>
      </c>
    </row>
    <row r="292" ht="14.25" customHeight="1">
      <c r="A292" s="1" t="s">
        <v>34</v>
      </c>
      <c r="B292" s="1">
        <v>2021.0</v>
      </c>
      <c r="C292" s="1" t="s">
        <v>35</v>
      </c>
      <c r="D292" s="1">
        <v>144.3</v>
      </c>
      <c r="E292" s="1">
        <v>186.5</v>
      </c>
      <c r="F292" s="1">
        <v>168.7</v>
      </c>
      <c r="G292" s="1">
        <v>154.7</v>
      </c>
      <c r="H292" s="1">
        <v>158.7</v>
      </c>
      <c r="I292" s="1">
        <v>150.7</v>
      </c>
      <c r="J292" s="1">
        <v>160.0</v>
      </c>
      <c r="K292" s="1">
        <v>158.8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157.2</v>
      </c>
      <c r="S292" s="1">
        <v>147.4</v>
      </c>
      <c r="T292" s="1">
        <v>155.8</v>
      </c>
      <c r="U292" s="1">
        <v>159.8</v>
      </c>
      <c r="V292" s="1">
        <v>152.4</v>
      </c>
      <c r="W292" s="1">
        <v>150.9</v>
      </c>
      <c r="X292" s="1">
        <v>161.3</v>
      </c>
      <c r="Y292" s="1">
        <v>145.1</v>
      </c>
      <c r="Z292" s="1">
        <v>151.5</v>
      </c>
      <c r="AA292" s="1">
        <v>159.5</v>
      </c>
      <c r="AB292" s="1">
        <v>155.8</v>
      </c>
      <c r="AC292" s="1">
        <v>153.4</v>
      </c>
      <c r="AD292" s="1">
        <v>156.6</v>
      </c>
    </row>
    <row r="293" ht="14.25" customHeight="1">
      <c r="A293" s="1" t="s">
        <v>30</v>
      </c>
      <c r="B293" s="1">
        <v>2021.0</v>
      </c>
      <c r="C293" s="1" t="s">
        <v>36</v>
      </c>
      <c r="D293" s="1">
        <v>142.5</v>
      </c>
      <c r="E293" s="1">
        <v>189.4</v>
      </c>
      <c r="F293" s="1">
        <v>163.2</v>
      </c>
      <c r="G293" s="1">
        <v>154.5</v>
      </c>
      <c r="H293" s="1">
        <v>168.2</v>
      </c>
      <c r="I293" s="1">
        <v>150.5</v>
      </c>
      <c r="J293" s="1">
        <v>141.0</v>
      </c>
      <c r="K293" s="1">
        <v>159.2</v>
      </c>
      <c r="L293" s="1">
        <v>111.7</v>
      </c>
      <c r="M293" s="1">
        <v>164.0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48</v>
      </c>
      <c r="V293" s="1">
        <v>156.0</v>
      </c>
      <c r="W293" s="1">
        <v>154.8</v>
      </c>
      <c r="X293" s="1">
        <v>164.6</v>
      </c>
      <c r="Y293" s="1">
        <v>151.3</v>
      </c>
      <c r="Z293" s="1">
        <v>157.8</v>
      </c>
      <c r="AA293" s="1">
        <v>163.8</v>
      </c>
      <c r="AB293" s="1">
        <v>153.1</v>
      </c>
      <c r="AC293" s="1">
        <v>157.3</v>
      </c>
      <c r="AD293" s="1">
        <v>156.7</v>
      </c>
    </row>
    <row r="294" ht="14.25" customHeight="1">
      <c r="A294" s="1" t="s">
        <v>33</v>
      </c>
      <c r="B294" s="1">
        <v>2021.0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150.7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138.7</v>
      </c>
      <c r="T294" s="1">
        <v>152.6</v>
      </c>
      <c r="U294" s="1">
        <v>159.9</v>
      </c>
      <c r="V294" s="1">
        <v>154.8</v>
      </c>
      <c r="W294" s="1">
        <v>147.2</v>
      </c>
      <c r="X294" s="1">
        <v>156.9</v>
      </c>
      <c r="Y294" s="1">
        <v>141.7</v>
      </c>
      <c r="Z294" s="1">
        <v>148.6</v>
      </c>
      <c r="AA294" s="1">
        <v>157.6</v>
      </c>
      <c r="AB294" s="1">
        <v>154.9</v>
      </c>
      <c r="AC294" s="1">
        <v>150.0</v>
      </c>
      <c r="AD294" s="1">
        <v>156.9</v>
      </c>
    </row>
    <row r="295" ht="14.25" customHeight="1">
      <c r="A295" s="1" t="s">
        <v>34</v>
      </c>
      <c r="B295" s="1">
        <v>2021.0</v>
      </c>
      <c r="C295" s="1" t="s">
        <v>36</v>
      </c>
      <c r="D295" s="1">
        <v>144.1</v>
      </c>
      <c r="E295" s="1">
        <v>192.2</v>
      </c>
      <c r="F295" s="1">
        <v>163.8</v>
      </c>
      <c r="G295" s="1">
        <v>154.9</v>
      </c>
      <c r="H295" s="1">
        <v>163.9</v>
      </c>
      <c r="I295" s="1">
        <v>153.7</v>
      </c>
      <c r="J295" s="1">
        <v>149.5</v>
      </c>
      <c r="K295" s="1">
        <v>159.8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156.7</v>
      </c>
      <c r="Q295" s="1">
        <v>188.1</v>
      </c>
      <c r="R295" s="1">
        <v>157.8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151.2</v>
      </c>
      <c r="X295" s="1">
        <v>161.7</v>
      </c>
      <c r="Y295" s="1">
        <v>146.2</v>
      </c>
      <c r="Z295" s="1">
        <v>152.6</v>
      </c>
      <c r="AA295" s="1">
        <v>160.2</v>
      </c>
      <c r="AB295" s="1">
        <v>153.8</v>
      </c>
      <c r="AC295" s="1">
        <v>153.8</v>
      </c>
      <c r="AD295" s="1">
        <v>156.8</v>
      </c>
    </row>
    <row r="296" ht="14.25" customHeight="1">
      <c r="A296" s="1" t="s">
        <v>30</v>
      </c>
      <c r="B296" s="1">
        <v>2021.0</v>
      </c>
      <c r="C296" s="1" t="s">
        <v>37</v>
      </c>
      <c r="D296" s="1">
        <v>142.7</v>
      </c>
      <c r="E296" s="1">
        <v>195.5</v>
      </c>
      <c r="F296" s="1">
        <v>163.4</v>
      </c>
      <c r="G296" s="1">
        <v>155.0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160.7</v>
      </c>
      <c r="S296" s="1">
        <v>155.1</v>
      </c>
      <c r="T296" s="1">
        <v>159.9</v>
      </c>
      <c r="U296" s="1" t="s">
        <v>48</v>
      </c>
      <c r="V296" s="1">
        <v>156.0</v>
      </c>
      <c r="W296" s="1">
        <v>155.5</v>
      </c>
      <c r="X296" s="1">
        <v>165.3</v>
      </c>
      <c r="Y296" s="1">
        <v>151.7</v>
      </c>
      <c r="Z296" s="1">
        <v>158.6</v>
      </c>
      <c r="AA296" s="1">
        <v>164.1</v>
      </c>
      <c r="AB296" s="1">
        <v>154.6</v>
      </c>
      <c r="AC296" s="1">
        <v>158.0</v>
      </c>
      <c r="AD296" s="1">
        <v>157.6</v>
      </c>
    </row>
    <row r="297" ht="14.25" customHeight="1">
      <c r="A297" s="1" t="s">
        <v>33</v>
      </c>
      <c r="B297" s="1">
        <v>2021.0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156.0</v>
      </c>
      <c r="H297" s="1">
        <v>161.4</v>
      </c>
      <c r="I297" s="1">
        <v>168.8</v>
      </c>
      <c r="J297" s="1">
        <v>161.6</v>
      </c>
      <c r="K297" s="1">
        <v>162.8</v>
      </c>
      <c r="L297" s="1">
        <v>114.8</v>
      </c>
      <c r="M297" s="1">
        <v>162.8</v>
      </c>
      <c r="N297" s="1">
        <v>151.5</v>
      </c>
      <c r="O297" s="1">
        <v>171.4</v>
      </c>
      <c r="P297" s="1">
        <v>162.0</v>
      </c>
      <c r="Q297" s="1">
        <v>194.4</v>
      </c>
      <c r="R297" s="1">
        <v>155.9</v>
      </c>
      <c r="S297" s="1">
        <v>139.3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158.0</v>
      </c>
    </row>
    <row r="298" ht="14.25" customHeight="1">
      <c r="A298" s="1" t="s">
        <v>34</v>
      </c>
      <c r="B298" s="1">
        <v>2021.0</v>
      </c>
      <c r="C298" s="1" t="s">
        <v>37</v>
      </c>
      <c r="D298" s="1">
        <v>144.3</v>
      </c>
      <c r="E298" s="1">
        <v>198.0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161.7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158.0</v>
      </c>
      <c r="Q298" s="1">
        <v>188.8</v>
      </c>
      <c r="R298" s="1">
        <v>158.8</v>
      </c>
      <c r="S298" s="1">
        <v>148.5</v>
      </c>
      <c r="T298" s="1">
        <v>157.3</v>
      </c>
      <c r="U298" s="1">
        <v>161.4</v>
      </c>
      <c r="V298" s="1">
        <v>155.6</v>
      </c>
      <c r="W298" s="1">
        <v>151.8</v>
      </c>
      <c r="X298" s="1">
        <v>162.3</v>
      </c>
      <c r="Y298" s="1">
        <v>146.6</v>
      </c>
      <c r="Z298" s="1">
        <v>153.2</v>
      </c>
      <c r="AA298" s="1">
        <v>160.3</v>
      </c>
      <c r="AB298" s="1">
        <v>155.4</v>
      </c>
      <c r="AC298" s="1">
        <v>154.4</v>
      </c>
      <c r="AD298" s="1">
        <v>157.8</v>
      </c>
    </row>
    <row r="299" ht="14.25" customHeight="1">
      <c r="A299" s="1" t="s">
        <v>30</v>
      </c>
      <c r="B299" s="1">
        <v>2021.0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</v>
      </c>
      <c r="H299" s="1">
        <v>184.4</v>
      </c>
      <c r="I299" s="1">
        <v>162.3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158.7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161.7</v>
      </c>
      <c r="W299" s="1">
        <v>158.8</v>
      </c>
      <c r="X299" s="1">
        <v>169.1</v>
      </c>
      <c r="Y299" s="1">
        <v>153.2</v>
      </c>
      <c r="Z299" s="1">
        <v>160.0</v>
      </c>
      <c r="AA299" s="1">
        <v>167.6</v>
      </c>
      <c r="AB299" s="1">
        <v>159.3</v>
      </c>
      <c r="AC299" s="1">
        <v>161.1</v>
      </c>
      <c r="AD299" s="1">
        <v>161.1</v>
      </c>
    </row>
    <row r="300" ht="14.25" customHeight="1">
      <c r="A300" s="1" t="s">
        <v>33</v>
      </c>
      <c r="B300" s="1">
        <v>2021.0</v>
      </c>
      <c r="C300" s="1" t="s">
        <v>38</v>
      </c>
      <c r="D300" s="1">
        <v>148.8</v>
      </c>
      <c r="E300" s="1">
        <v>204.3</v>
      </c>
      <c r="F300" s="1">
        <v>173.0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152.0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140.2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145.0</v>
      </c>
      <c r="Z300" s="1">
        <v>152.6</v>
      </c>
      <c r="AA300" s="1">
        <v>156.6</v>
      </c>
      <c r="AB300" s="1">
        <v>157.5</v>
      </c>
      <c r="AC300" s="1">
        <v>152.3</v>
      </c>
      <c r="AD300" s="1">
        <v>159.5</v>
      </c>
    </row>
    <row r="301" ht="14.25" customHeight="1">
      <c r="A301" s="1" t="s">
        <v>34</v>
      </c>
      <c r="B301" s="1">
        <v>2021.0</v>
      </c>
      <c r="C301" s="1" t="s">
        <v>38</v>
      </c>
      <c r="D301" s="1">
        <v>146.3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</v>
      </c>
      <c r="O301" s="1">
        <v>170.4</v>
      </c>
      <c r="P301" s="1">
        <v>160.7</v>
      </c>
      <c r="Q301" s="1">
        <v>191.9</v>
      </c>
      <c r="R301" s="1">
        <v>161.8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154.7</v>
      </c>
      <c r="X301" s="1">
        <v>165.8</v>
      </c>
      <c r="Y301" s="1">
        <v>148.9</v>
      </c>
      <c r="Z301" s="1">
        <v>155.8</v>
      </c>
      <c r="AA301" s="1">
        <v>161.2</v>
      </c>
      <c r="AB301" s="1">
        <v>158.6</v>
      </c>
      <c r="AC301" s="1">
        <v>156.8</v>
      </c>
      <c r="AD301" s="1">
        <v>160.4</v>
      </c>
    </row>
    <row r="302" ht="14.25" customHeight="1">
      <c r="A302" s="1" t="s">
        <v>30</v>
      </c>
      <c r="B302" s="1">
        <v>2021.0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144.7</v>
      </c>
      <c r="K302" s="1">
        <v>165.5</v>
      </c>
      <c r="L302" s="1">
        <v>114.6</v>
      </c>
      <c r="M302" s="1">
        <v>170.0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159.2</v>
      </c>
      <c r="X302" s="1">
        <v>169.7</v>
      </c>
      <c r="Y302" s="1">
        <v>154.2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ht="14.25" customHeight="1">
      <c r="A303" s="1" t="s">
        <v>33</v>
      </c>
      <c r="B303" s="1">
        <v>2021.0</v>
      </c>
      <c r="C303" s="1" t="s">
        <v>39</v>
      </c>
      <c r="D303" s="1">
        <v>149.2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</v>
      </c>
      <c r="O303" s="1">
        <v>173.3</v>
      </c>
      <c r="P303" s="1">
        <v>166.2</v>
      </c>
      <c r="Q303" s="1">
        <v>195.6</v>
      </c>
      <c r="R303" s="1">
        <v>157.3</v>
      </c>
      <c r="S303" s="1">
        <v>140.5</v>
      </c>
      <c r="T303" s="1">
        <v>154.8</v>
      </c>
      <c r="U303" s="1">
        <v>160.5</v>
      </c>
      <c r="V303" s="1">
        <v>156.1</v>
      </c>
      <c r="W303" s="1">
        <v>149.8</v>
      </c>
      <c r="X303" s="1">
        <v>160.8</v>
      </c>
      <c r="Y303" s="1">
        <v>147.5</v>
      </c>
      <c r="Z303" s="1">
        <v>150.7</v>
      </c>
      <c r="AA303" s="1">
        <v>158.1</v>
      </c>
      <c r="AB303" s="1">
        <v>158.0</v>
      </c>
      <c r="AC303" s="1">
        <v>153.4</v>
      </c>
      <c r="AD303" s="1">
        <v>160.4</v>
      </c>
    </row>
    <row r="304" ht="14.25" customHeight="1">
      <c r="A304" s="1" t="s">
        <v>34</v>
      </c>
      <c r="B304" s="1">
        <v>2021.0</v>
      </c>
      <c r="C304" s="1" t="s">
        <v>39</v>
      </c>
      <c r="D304" s="1">
        <v>146.7</v>
      </c>
      <c r="E304" s="1">
        <v>202.0</v>
      </c>
      <c r="F304" s="1">
        <v>180.7</v>
      </c>
      <c r="G304" s="1">
        <v>156.2</v>
      </c>
      <c r="H304" s="1">
        <v>183.7</v>
      </c>
      <c r="I304" s="1">
        <v>164.6</v>
      </c>
      <c r="J304" s="1">
        <v>155.4</v>
      </c>
      <c r="K304" s="1">
        <v>166.0</v>
      </c>
      <c r="L304" s="1">
        <v>115.1</v>
      </c>
      <c r="M304" s="1">
        <v>168.5</v>
      </c>
      <c r="N304" s="1">
        <v>160.0</v>
      </c>
      <c r="O304" s="1">
        <v>172.4</v>
      </c>
      <c r="P304" s="1">
        <v>162.6</v>
      </c>
      <c r="Q304" s="1">
        <v>190.8</v>
      </c>
      <c r="R304" s="1">
        <v>162.2</v>
      </c>
      <c r="S304" s="1">
        <v>151.8</v>
      </c>
      <c r="T304" s="1">
        <v>160.7</v>
      </c>
      <c r="U304" s="1">
        <v>160.5</v>
      </c>
      <c r="V304" s="1">
        <v>159.8</v>
      </c>
      <c r="W304" s="1">
        <v>154.8</v>
      </c>
      <c r="X304" s="1">
        <v>166.3</v>
      </c>
      <c r="Y304" s="1">
        <v>150.7</v>
      </c>
      <c r="Z304" s="1">
        <v>154.9</v>
      </c>
      <c r="AA304" s="1">
        <v>161.7</v>
      </c>
      <c r="AB304" s="1">
        <v>158.8</v>
      </c>
      <c r="AC304" s="1">
        <v>157.6</v>
      </c>
      <c r="AD304" s="1">
        <v>161.3</v>
      </c>
    </row>
    <row r="305" ht="14.25" customHeight="1">
      <c r="A305" s="1" t="s">
        <v>30</v>
      </c>
      <c r="B305" s="1">
        <v>2021.0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157.7</v>
      </c>
      <c r="J305" s="1">
        <v>152.8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171.0</v>
      </c>
      <c r="P305" s="1">
        <v>161.7</v>
      </c>
      <c r="Q305" s="1">
        <v>189.7</v>
      </c>
      <c r="R305" s="1">
        <v>166.0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</v>
      </c>
      <c r="X305" s="1">
        <v>170.4</v>
      </c>
      <c r="Y305" s="1">
        <v>157.1</v>
      </c>
      <c r="Z305" s="1">
        <v>160.7</v>
      </c>
      <c r="AA305" s="1">
        <v>167.2</v>
      </c>
      <c r="AB305" s="1">
        <v>160.4</v>
      </c>
      <c r="AC305" s="1">
        <v>162.8</v>
      </c>
      <c r="AD305" s="1">
        <v>163.2</v>
      </c>
    </row>
    <row r="306" ht="14.25" customHeight="1">
      <c r="A306" s="1" t="s">
        <v>33</v>
      </c>
      <c r="B306" s="1">
        <v>2021.0</v>
      </c>
      <c r="C306" s="1" t="s">
        <v>40</v>
      </c>
      <c r="D306" s="1">
        <v>149.1</v>
      </c>
      <c r="E306" s="1">
        <v>210.9</v>
      </c>
      <c r="F306" s="1">
        <v>185.0</v>
      </c>
      <c r="G306" s="1">
        <v>158.2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157.7</v>
      </c>
      <c r="W306" s="1">
        <v>150.7</v>
      </c>
      <c r="X306" s="1">
        <v>161.5</v>
      </c>
      <c r="Y306" s="1">
        <v>149.5</v>
      </c>
      <c r="Z306" s="1">
        <v>151.2</v>
      </c>
      <c r="AA306" s="1">
        <v>160.3</v>
      </c>
      <c r="AB306" s="1">
        <v>159.6</v>
      </c>
      <c r="AC306" s="1">
        <v>155.0</v>
      </c>
      <c r="AD306" s="1">
        <v>161.8</v>
      </c>
    </row>
    <row r="307" ht="14.25" customHeight="1">
      <c r="A307" s="1" t="s">
        <v>34</v>
      </c>
      <c r="B307" s="1">
        <v>2021.0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164.0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164.0</v>
      </c>
      <c r="Q307" s="1">
        <v>191.2</v>
      </c>
      <c r="R307" s="1">
        <v>162.8</v>
      </c>
      <c r="S307" s="1">
        <v>153.1</v>
      </c>
      <c r="T307" s="1">
        <v>161.4</v>
      </c>
      <c r="U307" s="1">
        <v>161.5</v>
      </c>
      <c r="V307" s="1">
        <v>160.7</v>
      </c>
      <c r="W307" s="1">
        <v>155.8</v>
      </c>
      <c r="X307" s="1">
        <v>167.0</v>
      </c>
      <c r="Y307" s="1">
        <v>153.1</v>
      </c>
      <c r="Z307" s="1">
        <v>155.3</v>
      </c>
      <c r="AA307" s="1">
        <v>163.2</v>
      </c>
      <c r="AB307" s="1">
        <v>160.1</v>
      </c>
      <c r="AC307" s="1">
        <v>159.0</v>
      </c>
      <c r="AD307" s="1">
        <v>162.5</v>
      </c>
    </row>
    <row r="308" ht="14.25" customHeight="1">
      <c r="A308" s="1" t="s">
        <v>30</v>
      </c>
      <c r="B308" s="1">
        <v>2021.0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155.7</v>
      </c>
      <c r="J308" s="1">
        <v>153.9</v>
      </c>
      <c r="K308" s="1">
        <v>162.8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</v>
      </c>
      <c r="Q308" s="1">
        <v>190.2</v>
      </c>
      <c r="R308" s="1">
        <v>167.0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157.7</v>
      </c>
      <c r="Z308" s="1">
        <v>161.1</v>
      </c>
      <c r="AA308" s="1">
        <v>167.5</v>
      </c>
      <c r="AB308" s="1">
        <v>160.3</v>
      </c>
      <c r="AC308" s="1">
        <v>163.3</v>
      </c>
      <c r="AD308" s="1">
        <v>163.6</v>
      </c>
    </row>
    <row r="309" ht="14.25" customHeight="1">
      <c r="A309" s="1" t="s">
        <v>33</v>
      </c>
      <c r="B309" s="1">
        <v>2021.0</v>
      </c>
      <c r="C309" s="1" t="s">
        <v>41</v>
      </c>
      <c r="D309" s="1">
        <v>149.3</v>
      </c>
      <c r="E309" s="1">
        <v>207.4</v>
      </c>
      <c r="F309" s="1">
        <v>174.1</v>
      </c>
      <c r="G309" s="1">
        <v>159.2</v>
      </c>
      <c r="H309" s="1">
        <v>175.0</v>
      </c>
      <c r="I309" s="1">
        <v>161.3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</v>
      </c>
      <c r="O309" s="1">
        <v>175.1</v>
      </c>
      <c r="P309" s="1">
        <v>167.3</v>
      </c>
      <c r="Q309" s="1">
        <v>196.5</v>
      </c>
      <c r="R309" s="1">
        <v>159.8</v>
      </c>
      <c r="S309" s="1">
        <v>143.6</v>
      </c>
      <c r="T309" s="1">
        <v>157.3</v>
      </c>
      <c r="U309" s="1">
        <v>162.1</v>
      </c>
      <c r="V309" s="1">
        <v>160.7</v>
      </c>
      <c r="W309" s="1">
        <v>153.2</v>
      </c>
      <c r="X309" s="1">
        <v>162.8</v>
      </c>
      <c r="Y309" s="1">
        <v>150.4</v>
      </c>
      <c r="Z309" s="1">
        <v>153.7</v>
      </c>
      <c r="AA309" s="1">
        <v>160.4</v>
      </c>
      <c r="AB309" s="1">
        <v>159.6</v>
      </c>
      <c r="AC309" s="1">
        <v>156.0</v>
      </c>
      <c r="AD309" s="1">
        <v>162.3</v>
      </c>
    </row>
    <row r="310" ht="14.25" customHeight="1">
      <c r="A310" s="1" t="s">
        <v>34</v>
      </c>
      <c r="B310" s="1">
        <v>2021.0</v>
      </c>
      <c r="C310" s="1" t="s">
        <v>41</v>
      </c>
      <c r="D310" s="1">
        <v>146.6</v>
      </c>
      <c r="E310" s="1">
        <v>204.0</v>
      </c>
      <c r="F310" s="1">
        <v>172.8</v>
      </c>
      <c r="G310" s="1">
        <v>158.4</v>
      </c>
      <c r="H310" s="1">
        <v>188.0</v>
      </c>
      <c r="I310" s="1">
        <v>156.8</v>
      </c>
      <c r="J310" s="1">
        <v>162.2</v>
      </c>
      <c r="K310" s="1">
        <v>164.1</v>
      </c>
      <c r="L310" s="1">
        <v>119.7</v>
      </c>
      <c r="M310" s="1">
        <v>168.8</v>
      </c>
      <c r="N310" s="1">
        <v>162.7</v>
      </c>
      <c r="O310" s="1">
        <v>173.9</v>
      </c>
      <c r="P310" s="1">
        <v>164.0</v>
      </c>
      <c r="Q310" s="1">
        <v>192.1</v>
      </c>
      <c r="R310" s="1">
        <v>164.5</v>
      </c>
      <c r="S310" s="1">
        <v>155.3</v>
      </c>
      <c r="T310" s="1">
        <v>163.2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154.0</v>
      </c>
      <c r="Z310" s="1">
        <v>157.6</v>
      </c>
      <c r="AA310" s="1">
        <v>163.8</v>
      </c>
      <c r="AB310" s="1">
        <v>160.0</v>
      </c>
      <c r="AC310" s="1">
        <v>160.0</v>
      </c>
      <c r="AD310" s="1">
        <v>163.2</v>
      </c>
    </row>
    <row r="311" ht="14.25" customHeight="1">
      <c r="A311" s="1" t="s">
        <v>30</v>
      </c>
      <c r="B311" s="1">
        <v>2021.0</v>
      </c>
      <c r="C311" s="1" t="s">
        <v>42</v>
      </c>
      <c r="D311" s="1">
        <v>145.4</v>
      </c>
      <c r="E311" s="1">
        <v>202.1</v>
      </c>
      <c r="F311" s="1">
        <v>172.0</v>
      </c>
      <c r="G311" s="1">
        <v>158.0</v>
      </c>
      <c r="H311" s="1">
        <v>195.5</v>
      </c>
      <c r="I311" s="1">
        <v>152.7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163.7</v>
      </c>
      <c r="W311" s="1">
        <v>161.3</v>
      </c>
      <c r="X311" s="1">
        <v>171.9</v>
      </c>
      <c r="Y311" s="1">
        <v>157.8</v>
      </c>
      <c r="Z311" s="1">
        <v>162.7</v>
      </c>
      <c r="AA311" s="1">
        <v>168.5</v>
      </c>
      <c r="AB311" s="1">
        <v>160.2</v>
      </c>
      <c r="AC311" s="1">
        <v>163.8</v>
      </c>
      <c r="AD311" s="1">
        <v>164.0</v>
      </c>
    </row>
    <row r="312" ht="14.25" customHeight="1">
      <c r="A312" s="1" t="s">
        <v>33</v>
      </c>
      <c r="B312" s="1">
        <v>2021.0</v>
      </c>
      <c r="C312" s="1" t="s">
        <v>42</v>
      </c>
      <c r="D312" s="1">
        <v>149.3</v>
      </c>
      <c r="E312" s="1">
        <v>207.4</v>
      </c>
      <c r="F312" s="1">
        <v>174.1</v>
      </c>
      <c r="G312" s="1">
        <v>159.1</v>
      </c>
      <c r="H312" s="1">
        <v>175.0</v>
      </c>
      <c r="I312" s="1">
        <v>161.2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</v>
      </c>
      <c r="O312" s="1">
        <v>175.1</v>
      </c>
      <c r="P312" s="1">
        <v>167.3</v>
      </c>
      <c r="Q312" s="1">
        <v>196.5</v>
      </c>
      <c r="R312" s="1">
        <v>159.8</v>
      </c>
      <c r="S312" s="1">
        <v>143.6</v>
      </c>
      <c r="T312" s="1">
        <v>157.4</v>
      </c>
      <c r="U312" s="1">
        <v>162.1</v>
      </c>
      <c r="V312" s="1">
        <v>160.8</v>
      </c>
      <c r="W312" s="1">
        <v>153.3</v>
      </c>
      <c r="X312" s="1">
        <v>162.8</v>
      </c>
      <c r="Y312" s="1">
        <v>150.5</v>
      </c>
      <c r="Z312" s="1">
        <v>153.9</v>
      </c>
      <c r="AA312" s="1">
        <v>160.3</v>
      </c>
      <c r="AB312" s="1">
        <v>159.6</v>
      </c>
      <c r="AC312" s="1">
        <v>156.0</v>
      </c>
      <c r="AD312" s="1">
        <v>162.3</v>
      </c>
    </row>
    <row r="313" ht="14.25" customHeight="1">
      <c r="A313" s="1" t="s">
        <v>34</v>
      </c>
      <c r="B313" s="1">
        <v>2021.0</v>
      </c>
      <c r="C313" s="1" t="s">
        <v>42</v>
      </c>
      <c r="D313" s="1">
        <v>146.6</v>
      </c>
      <c r="E313" s="1">
        <v>204.0</v>
      </c>
      <c r="F313" s="1">
        <v>172.8</v>
      </c>
      <c r="G313" s="1">
        <v>158.4</v>
      </c>
      <c r="H313" s="1">
        <v>188.0</v>
      </c>
      <c r="I313" s="1">
        <v>156.7</v>
      </c>
      <c r="J313" s="1">
        <v>162.3</v>
      </c>
      <c r="K313" s="1">
        <v>164.1</v>
      </c>
      <c r="L313" s="1">
        <v>119.7</v>
      </c>
      <c r="M313" s="1">
        <v>168.8</v>
      </c>
      <c r="N313" s="1">
        <v>162.7</v>
      </c>
      <c r="O313" s="1">
        <v>173.9</v>
      </c>
      <c r="P313" s="1">
        <v>164.0</v>
      </c>
      <c r="Q313" s="1">
        <v>192.1</v>
      </c>
      <c r="R313" s="1">
        <v>164.6</v>
      </c>
      <c r="S313" s="1">
        <v>155.3</v>
      </c>
      <c r="T313" s="1">
        <v>163.3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154.0</v>
      </c>
      <c r="Z313" s="1">
        <v>157.7</v>
      </c>
      <c r="AA313" s="1">
        <v>163.7</v>
      </c>
      <c r="AB313" s="1">
        <v>160.0</v>
      </c>
      <c r="AC313" s="1">
        <v>160.0</v>
      </c>
      <c r="AD313" s="1">
        <v>163.2</v>
      </c>
    </row>
    <row r="314" ht="14.25" customHeight="1">
      <c r="A314" s="1" t="s">
        <v>30</v>
      </c>
      <c r="B314" s="1">
        <v>2021.0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162.0</v>
      </c>
      <c r="X314" s="1">
        <v>172.5</v>
      </c>
      <c r="Y314" s="1">
        <v>159.5</v>
      </c>
      <c r="Z314" s="1">
        <v>163.2</v>
      </c>
      <c r="AA314" s="1">
        <v>169.0</v>
      </c>
      <c r="AB314" s="1">
        <v>161.1</v>
      </c>
      <c r="AC314" s="1">
        <v>164.7</v>
      </c>
      <c r="AD314" s="1">
        <v>166.3</v>
      </c>
    </row>
    <row r="315" ht="14.25" customHeight="1">
      <c r="A315" s="1" t="s">
        <v>33</v>
      </c>
      <c r="B315" s="1">
        <v>2021.0</v>
      </c>
      <c r="C315" s="1" t="s">
        <v>43</v>
      </c>
      <c r="D315" s="1">
        <v>150.1</v>
      </c>
      <c r="E315" s="1">
        <v>208.4</v>
      </c>
      <c r="F315" s="1">
        <v>173.0</v>
      </c>
      <c r="G315" s="1">
        <v>159.2</v>
      </c>
      <c r="H315" s="1">
        <v>176.6</v>
      </c>
      <c r="I315" s="1">
        <v>159.3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197.0</v>
      </c>
      <c r="R315" s="1">
        <v>160.8</v>
      </c>
      <c r="S315" s="1">
        <v>144.4</v>
      </c>
      <c r="T315" s="1">
        <v>158.3</v>
      </c>
      <c r="U315" s="1">
        <v>163.6</v>
      </c>
      <c r="V315" s="1">
        <v>162.2</v>
      </c>
      <c r="W315" s="1">
        <v>154.3</v>
      </c>
      <c r="X315" s="1">
        <v>163.5</v>
      </c>
      <c r="Y315" s="1">
        <v>152.2</v>
      </c>
      <c r="Z315" s="1">
        <v>155.1</v>
      </c>
      <c r="AA315" s="1">
        <v>160.3</v>
      </c>
      <c r="AB315" s="1">
        <v>160.3</v>
      </c>
      <c r="AC315" s="1">
        <v>157.0</v>
      </c>
      <c r="AD315" s="1">
        <v>164.6</v>
      </c>
    </row>
    <row r="316" ht="14.25" customHeight="1">
      <c r="A316" s="1" t="s">
        <v>34</v>
      </c>
      <c r="B316" s="1">
        <v>2021.0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158.7</v>
      </c>
      <c r="H316" s="1">
        <v>190.6</v>
      </c>
      <c r="I316" s="1">
        <v>155.7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163.2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155.7</v>
      </c>
      <c r="Z316" s="1">
        <v>158.6</v>
      </c>
      <c r="AA316" s="1">
        <v>163.9</v>
      </c>
      <c r="AB316" s="1">
        <v>160.8</v>
      </c>
      <c r="AC316" s="1">
        <v>161.0</v>
      </c>
      <c r="AD316" s="1">
        <v>165.5</v>
      </c>
    </row>
    <row r="317" ht="14.25" customHeight="1">
      <c r="A317" s="1" t="s">
        <v>30</v>
      </c>
      <c r="B317" s="1">
        <v>2021.0</v>
      </c>
      <c r="C317" s="1" t="s">
        <v>45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153.2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166.0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</v>
      </c>
      <c r="AA317" s="1">
        <v>169.3</v>
      </c>
      <c r="AB317" s="1">
        <v>162.4</v>
      </c>
      <c r="AC317" s="1">
        <v>165.2</v>
      </c>
      <c r="AD317" s="1">
        <v>167.6</v>
      </c>
    </row>
    <row r="318" ht="14.25" customHeight="1">
      <c r="A318" s="1" t="s">
        <v>33</v>
      </c>
      <c r="B318" s="1">
        <v>2021.0</v>
      </c>
      <c r="C318" s="1" t="s">
        <v>45</v>
      </c>
      <c r="D318" s="1">
        <v>151.0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197.0</v>
      </c>
      <c r="R318" s="1">
        <v>162.3</v>
      </c>
      <c r="S318" s="1">
        <v>145.3</v>
      </c>
      <c r="T318" s="1">
        <v>159.7</v>
      </c>
      <c r="U318" s="1">
        <v>164.2</v>
      </c>
      <c r="V318" s="1">
        <v>161.6</v>
      </c>
      <c r="W318" s="1">
        <v>155.2</v>
      </c>
      <c r="X318" s="1">
        <v>164.2</v>
      </c>
      <c r="Y318" s="1">
        <v>151.2</v>
      </c>
      <c r="Z318" s="1">
        <v>156.7</v>
      </c>
      <c r="AA318" s="1">
        <v>160.8</v>
      </c>
      <c r="AB318" s="1">
        <v>161.8</v>
      </c>
      <c r="AC318" s="1">
        <v>157.3</v>
      </c>
      <c r="AD318" s="1">
        <v>165.6</v>
      </c>
    </row>
    <row r="319" ht="14.25" customHeight="1">
      <c r="A319" s="1" t="s">
        <v>34</v>
      </c>
      <c r="B319" s="1">
        <v>2021.0</v>
      </c>
      <c r="C319" s="1" t="s">
        <v>45</v>
      </c>
      <c r="D319" s="1">
        <v>148.2</v>
      </c>
      <c r="E319" s="1">
        <v>201.6</v>
      </c>
      <c r="F319" s="1">
        <v>173.0</v>
      </c>
      <c r="G319" s="1">
        <v>159.3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163.7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</v>
      </c>
      <c r="X319" s="1">
        <v>169.9</v>
      </c>
      <c r="Y319" s="1">
        <v>154.8</v>
      </c>
      <c r="Z319" s="1">
        <v>159.8</v>
      </c>
      <c r="AA319" s="1">
        <v>164.3</v>
      </c>
      <c r="AB319" s="1">
        <v>162.2</v>
      </c>
      <c r="AC319" s="1">
        <v>161.4</v>
      </c>
      <c r="AD319" s="1">
        <v>166.7</v>
      </c>
    </row>
    <row r="320" ht="14.25" customHeight="1">
      <c r="A320" s="1" t="s">
        <v>30</v>
      </c>
      <c r="B320" s="1">
        <v>2021.0</v>
      </c>
      <c r="C320" s="1" t="s">
        <v>46</v>
      </c>
      <c r="D320" s="1">
        <v>147.4</v>
      </c>
      <c r="E320" s="1">
        <v>197.0</v>
      </c>
      <c r="F320" s="1">
        <v>176.5</v>
      </c>
      <c r="G320" s="1">
        <v>159.8</v>
      </c>
      <c r="H320" s="1">
        <v>195.8</v>
      </c>
      <c r="I320" s="1">
        <v>152.0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174.0</v>
      </c>
      <c r="Y320" s="1">
        <v>160.1</v>
      </c>
      <c r="Z320" s="1">
        <v>164.5</v>
      </c>
      <c r="AA320" s="1">
        <v>169.7</v>
      </c>
      <c r="AB320" s="1">
        <v>162.8</v>
      </c>
      <c r="AC320" s="1">
        <v>166.0</v>
      </c>
      <c r="AD320" s="1">
        <v>167.0</v>
      </c>
    </row>
    <row r="321" ht="14.25" customHeight="1">
      <c r="A321" s="1" t="s">
        <v>33</v>
      </c>
      <c r="B321" s="1">
        <v>2021.0</v>
      </c>
      <c r="C321" s="1" t="s">
        <v>46</v>
      </c>
      <c r="D321" s="1">
        <v>151.6</v>
      </c>
      <c r="E321" s="1">
        <v>202.2</v>
      </c>
      <c r="F321" s="1">
        <v>180.0</v>
      </c>
      <c r="G321" s="1">
        <v>160.0</v>
      </c>
      <c r="H321" s="1">
        <v>173.5</v>
      </c>
      <c r="I321" s="1">
        <v>158.3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</v>
      </c>
      <c r="S321" s="1">
        <v>146.7</v>
      </c>
      <c r="T321" s="1">
        <v>160.7</v>
      </c>
      <c r="U321" s="1">
        <v>163.4</v>
      </c>
      <c r="V321" s="1">
        <v>161.7</v>
      </c>
      <c r="W321" s="1">
        <v>156.0</v>
      </c>
      <c r="X321" s="1">
        <v>165.1</v>
      </c>
      <c r="Y321" s="1">
        <v>151.8</v>
      </c>
      <c r="Z321" s="1">
        <v>157.6</v>
      </c>
      <c r="AA321" s="1">
        <v>160.6</v>
      </c>
      <c r="AB321" s="1">
        <v>162.4</v>
      </c>
      <c r="AC321" s="1">
        <v>157.8</v>
      </c>
      <c r="AD321" s="1">
        <v>165.2</v>
      </c>
    </row>
    <row r="322" ht="14.25" customHeight="1">
      <c r="A322" s="1" t="s">
        <v>34</v>
      </c>
      <c r="B322" s="1">
        <v>2021.0</v>
      </c>
      <c r="C322" s="1" t="s">
        <v>46</v>
      </c>
      <c r="D322" s="1">
        <v>148.7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121.0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158.7</v>
      </c>
      <c r="T322" s="1">
        <v>167.0</v>
      </c>
      <c r="U322" s="1">
        <v>163.4</v>
      </c>
      <c r="V322" s="1">
        <v>164.1</v>
      </c>
      <c r="W322" s="1">
        <v>160.2</v>
      </c>
      <c r="X322" s="1">
        <v>170.6</v>
      </c>
      <c r="Y322" s="1">
        <v>155.7</v>
      </c>
      <c r="Z322" s="1">
        <v>160.6</v>
      </c>
      <c r="AA322" s="1">
        <v>164.4</v>
      </c>
      <c r="AB322" s="1">
        <v>162.6</v>
      </c>
      <c r="AC322" s="1">
        <v>162.0</v>
      </c>
      <c r="AD322" s="1">
        <v>166.2</v>
      </c>
    </row>
    <row r="323" ht="14.25" customHeight="1">
      <c r="A323" s="1" t="s">
        <v>30</v>
      </c>
      <c r="B323" s="1">
        <v>2022.0</v>
      </c>
      <c r="C323" s="1" t="s">
        <v>31</v>
      </c>
      <c r="D323" s="1">
        <v>148.3</v>
      </c>
      <c r="E323" s="1">
        <v>196.9</v>
      </c>
      <c r="F323" s="1">
        <v>178.0</v>
      </c>
      <c r="G323" s="1">
        <v>160.5</v>
      </c>
      <c r="H323" s="1">
        <v>192.6</v>
      </c>
      <c r="I323" s="1">
        <v>151.2</v>
      </c>
      <c r="J323" s="1">
        <v>159.2</v>
      </c>
      <c r="K323" s="1">
        <v>164.0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</v>
      </c>
      <c r="Z323" s="1">
        <v>164.9</v>
      </c>
      <c r="AA323" s="1">
        <v>169.9</v>
      </c>
      <c r="AB323" s="1">
        <v>163.2</v>
      </c>
      <c r="AC323" s="1">
        <v>166.6</v>
      </c>
      <c r="AD323" s="1">
        <v>166.4</v>
      </c>
    </row>
    <row r="324" ht="14.25" customHeight="1">
      <c r="A324" s="1" t="s">
        <v>33</v>
      </c>
      <c r="B324" s="1">
        <v>2022.0</v>
      </c>
      <c r="C324" s="1" t="s">
        <v>31</v>
      </c>
      <c r="D324" s="1">
        <v>152.2</v>
      </c>
      <c r="E324" s="1">
        <v>202.1</v>
      </c>
      <c r="F324" s="1">
        <v>180.1</v>
      </c>
      <c r="G324" s="1">
        <v>160.4</v>
      </c>
      <c r="H324" s="1">
        <v>171.0</v>
      </c>
      <c r="I324" s="1">
        <v>156.5</v>
      </c>
      <c r="J324" s="1">
        <v>203.6</v>
      </c>
      <c r="K324" s="1">
        <v>163.8</v>
      </c>
      <c r="L324" s="1">
        <v>121.3</v>
      </c>
      <c r="M324" s="1">
        <v>169.8</v>
      </c>
      <c r="N324" s="1">
        <v>156.6</v>
      </c>
      <c r="O324" s="1">
        <v>179.0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162.2</v>
      </c>
      <c r="U324" s="1">
        <v>164.5</v>
      </c>
      <c r="V324" s="1">
        <v>161.6</v>
      </c>
      <c r="W324" s="1">
        <v>156.8</v>
      </c>
      <c r="X324" s="1">
        <v>166.1</v>
      </c>
      <c r="Y324" s="1">
        <v>152.7</v>
      </c>
      <c r="Z324" s="1">
        <v>158.4</v>
      </c>
      <c r="AA324" s="1">
        <v>161.0</v>
      </c>
      <c r="AB324" s="1">
        <v>162.8</v>
      </c>
      <c r="AC324" s="1">
        <v>158.6</v>
      </c>
      <c r="AD324" s="1">
        <v>165.0</v>
      </c>
    </row>
    <row r="325" ht="14.25" customHeight="1">
      <c r="A325" s="1" t="s">
        <v>34</v>
      </c>
      <c r="B325" s="1">
        <v>2022.0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153.7</v>
      </c>
      <c r="J325" s="1">
        <v>174.3</v>
      </c>
      <c r="K325" s="1">
        <v>163.9</v>
      </c>
      <c r="L325" s="1">
        <v>120.0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160.7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161.2</v>
      </c>
      <c r="AA325" s="1">
        <v>164.7</v>
      </c>
      <c r="AB325" s="1">
        <v>163.0</v>
      </c>
      <c r="AC325" s="1">
        <v>162.7</v>
      </c>
      <c r="AD325" s="1">
        <v>165.7</v>
      </c>
    </row>
    <row r="326" ht="14.25" customHeight="1">
      <c r="A326" s="1" t="s">
        <v>30</v>
      </c>
      <c r="B326" s="1">
        <v>2022.0</v>
      </c>
      <c r="C326" s="1" t="s">
        <v>35</v>
      </c>
      <c r="D326" s="1">
        <v>148.8</v>
      </c>
      <c r="E326" s="1">
        <v>198.1</v>
      </c>
      <c r="F326" s="1">
        <v>175.5</v>
      </c>
      <c r="G326" s="1">
        <v>160.7</v>
      </c>
      <c r="H326" s="1">
        <v>192.6</v>
      </c>
      <c r="I326" s="1">
        <v>151.4</v>
      </c>
      <c r="J326" s="1">
        <v>155.2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171.0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161.2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ht="14.25" customHeight="1">
      <c r="A327" s="1" t="s">
        <v>33</v>
      </c>
      <c r="B327" s="1">
        <v>2022.0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198.0</v>
      </c>
      <c r="K327" s="1">
        <v>163.2</v>
      </c>
      <c r="L327" s="1">
        <v>120.6</v>
      </c>
      <c r="M327" s="1">
        <v>172.2</v>
      </c>
      <c r="N327" s="1">
        <v>156.7</v>
      </c>
      <c r="O327" s="1">
        <v>180.0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163.0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162.0</v>
      </c>
      <c r="AB327" s="1">
        <v>164.2</v>
      </c>
      <c r="AC327" s="1">
        <v>159.4</v>
      </c>
      <c r="AD327" s="1">
        <v>165.5</v>
      </c>
    </row>
    <row r="328" ht="14.25" customHeight="1">
      <c r="A328" s="1" t="s">
        <v>34</v>
      </c>
      <c r="B328" s="1">
        <v>2022.0</v>
      </c>
      <c r="C328" s="1" t="s">
        <v>35</v>
      </c>
      <c r="D328" s="1">
        <v>150.0</v>
      </c>
      <c r="E328" s="1">
        <v>200.6</v>
      </c>
      <c r="F328" s="1">
        <v>175.8</v>
      </c>
      <c r="G328" s="1">
        <v>160.7</v>
      </c>
      <c r="H328" s="1">
        <v>184.9</v>
      </c>
      <c r="I328" s="1">
        <v>153.7</v>
      </c>
      <c r="J328" s="1">
        <v>169.7</v>
      </c>
      <c r="K328" s="1">
        <v>163.7</v>
      </c>
      <c r="L328" s="1">
        <v>118.9</v>
      </c>
      <c r="M328" s="1">
        <v>174.3</v>
      </c>
      <c r="N328" s="1">
        <v>164.7</v>
      </c>
      <c r="O328" s="1">
        <v>178.0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ht="14.25" customHeight="1">
      <c r="A329" s="1" t="s">
        <v>30</v>
      </c>
      <c r="B329" s="1">
        <v>2022.0</v>
      </c>
      <c r="C329" s="1" t="s">
        <v>36</v>
      </c>
      <c r="D329" s="1">
        <v>150.2</v>
      </c>
      <c r="E329" s="1">
        <v>208.0</v>
      </c>
      <c r="F329" s="1">
        <v>167.9</v>
      </c>
      <c r="G329" s="1">
        <v>162.0</v>
      </c>
      <c r="H329" s="1">
        <v>203.1</v>
      </c>
      <c r="I329" s="1">
        <v>155.9</v>
      </c>
      <c r="J329" s="1">
        <v>155.8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176.0</v>
      </c>
      <c r="Y329" s="1">
        <v>162.0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ht="14.25" customHeight="1">
      <c r="A330" s="1" t="s">
        <v>33</v>
      </c>
      <c r="B330" s="1">
        <v>2022.0</v>
      </c>
      <c r="C330" s="1" t="s">
        <v>36</v>
      </c>
      <c r="D330" s="1">
        <v>153.7</v>
      </c>
      <c r="E330" s="1">
        <v>215.8</v>
      </c>
      <c r="F330" s="1">
        <v>167.7</v>
      </c>
      <c r="G330" s="1">
        <v>162.6</v>
      </c>
      <c r="H330" s="1">
        <v>180.0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154.2</v>
      </c>
      <c r="Z330" s="1">
        <v>160.8</v>
      </c>
      <c r="AA330" s="1">
        <v>162.7</v>
      </c>
      <c r="AB330" s="1">
        <v>166.8</v>
      </c>
      <c r="AC330" s="1">
        <v>160.6</v>
      </c>
      <c r="AD330" s="1">
        <v>166.5</v>
      </c>
    </row>
    <row r="331" ht="14.25" customHeight="1">
      <c r="A331" s="1" t="s">
        <v>34</v>
      </c>
      <c r="B331" s="1">
        <v>2022.0</v>
      </c>
      <c r="C331" s="1" t="s">
        <v>36</v>
      </c>
      <c r="D331" s="1">
        <v>151.3</v>
      </c>
      <c r="E331" s="1">
        <v>210.7</v>
      </c>
      <c r="F331" s="1">
        <v>167.8</v>
      </c>
      <c r="G331" s="1">
        <v>162.2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</v>
      </c>
      <c r="X331" s="1">
        <v>173.0</v>
      </c>
      <c r="Y331" s="1">
        <v>157.9</v>
      </c>
      <c r="Z331" s="1">
        <v>163.3</v>
      </c>
      <c r="AA331" s="1">
        <v>166.0</v>
      </c>
      <c r="AB331" s="1">
        <v>167.2</v>
      </c>
      <c r="AC331" s="1">
        <v>164.6</v>
      </c>
      <c r="AD331" s="1">
        <v>167.7</v>
      </c>
    </row>
    <row r="332" ht="14.25" customHeight="1">
      <c r="A332" s="1" t="s">
        <v>30</v>
      </c>
      <c r="B332" s="1">
        <v>2022.0</v>
      </c>
      <c r="C332" s="1" t="s">
        <v>37</v>
      </c>
      <c r="D332" s="1">
        <v>151.8</v>
      </c>
      <c r="E332" s="1">
        <v>209.7</v>
      </c>
      <c r="F332" s="1">
        <v>164.5</v>
      </c>
      <c r="G332" s="1">
        <v>163.8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177.0</v>
      </c>
      <c r="Y332" s="1">
        <v>166.2</v>
      </c>
      <c r="Z332" s="1">
        <v>167.2</v>
      </c>
      <c r="AA332" s="1">
        <v>170.9</v>
      </c>
      <c r="AB332" s="1">
        <v>169.0</v>
      </c>
      <c r="AC332" s="1">
        <v>170.2</v>
      </c>
      <c r="AD332" s="1">
        <v>170.8</v>
      </c>
    </row>
    <row r="333" ht="14.25" customHeight="1">
      <c r="A333" s="1" t="s">
        <v>33</v>
      </c>
      <c r="B333" s="1">
        <v>2022.0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186.0</v>
      </c>
      <c r="I333" s="1">
        <v>175.9</v>
      </c>
      <c r="J333" s="1">
        <v>190.7</v>
      </c>
      <c r="K333" s="1">
        <v>164.0</v>
      </c>
      <c r="L333" s="1">
        <v>120.5</v>
      </c>
      <c r="M333" s="1">
        <v>178.0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167.0</v>
      </c>
      <c r="V333" s="1">
        <v>170.5</v>
      </c>
      <c r="W333" s="1">
        <v>159.8</v>
      </c>
      <c r="X333" s="1">
        <v>169.0</v>
      </c>
      <c r="Y333" s="1">
        <v>159.3</v>
      </c>
      <c r="Z333" s="1">
        <v>162.2</v>
      </c>
      <c r="AA333" s="1">
        <v>164.0</v>
      </c>
      <c r="AB333" s="1">
        <v>168.4</v>
      </c>
      <c r="AC333" s="1">
        <v>163.1</v>
      </c>
      <c r="AD333" s="1">
        <v>169.2</v>
      </c>
    </row>
    <row r="334" ht="14.25" customHeight="1">
      <c r="A334" s="1" t="s">
        <v>34</v>
      </c>
      <c r="B334" s="1">
        <v>2022.0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119.0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167.0</v>
      </c>
      <c r="V334" s="1">
        <v>172.2</v>
      </c>
      <c r="W334" s="1">
        <v>164.0</v>
      </c>
      <c r="X334" s="1">
        <v>174.0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ht="14.25" customHeight="1">
      <c r="A335" s="1" t="s">
        <v>30</v>
      </c>
      <c r="B335" s="1">
        <v>2022.0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168.0</v>
      </c>
      <c r="J335" s="1">
        <v>160.4</v>
      </c>
      <c r="K335" s="1">
        <v>165.0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179.0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ht="14.25" customHeight="1">
      <c r="A336" s="1" t="s">
        <v>33</v>
      </c>
      <c r="B336" s="1">
        <v>2022.0</v>
      </c>
      <c r="C336" s="1" t="s">
        <v>38</v>
      </c>
      <c r="D336" s="1">
        <v>156.7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170.0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163.2</v>
      </c>
      <c r="AA336" s="1">
        <v>165.2</v>
      </c>
      <c r="AB336" s="1">
        <v>168.2</v>
      </c>
      <c r="AC336" s="1">
        <v>163.8</v>
      </c>
      <c r="AD336" s="1">
        <v>170.8</v>
      </c>
    </row>
    <row r="337" ht="14.25" customHeight="1">
      <c r="A337" s="1" t="s">
        <v>34</v>
      </c>
      <c r="B337" s="1">
        <v>2022.0</v>
      </c>
      <c r="C337" s="1" t="s">
        <v>38</v>
      </c>
      <c r="D337" s="1">
        <v>154.1</v>
      </c>
      <c r="E337" s="1">
        <v>217.0</v>
      </c>
      <c r="F337" s="1">
        <v>162.4</v>
      </c>
      <c r="G337" s="1">
        <v>164.9</v>
      </c>
      <c r="H337" s="1">
        <v>202.4</v>
      </c>
      <c r="I337" s="1">
        <v>171.0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163.0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ht="14.25" customHeight="1">
      <c r="A338" s="1" t="s">
        <v>30</v>
      </c>
      <c r="B338" s="1">
        <v>2022.0</v>
      </c>
      <c r="C338" s="1" t="s">
        <v>39</v>
      </c>
      <c r="D338" s="1">
        <v>153.8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168.0</v>
      </c>
      <c r="AA338" s="1">
        <v>172.6</v>
      </c>
      <c r="AB338" s="1">
        <v>169.5</v>
      </c>
      <c r="AC338" s="1">
        <v>171.0</v>
      </c>
      <c r="AD338" s="1">
        <v>173.6</v>
      </c>
    </row>
    <row r="339" ht="14.25" customHeight="1">
      <c r="A339" s="1" t="s">
        <v>33</v>
      </c>
      <c r="B339" s="1">
        <v>2022.0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157.2</v>
      </c>
      <c r="Z339" s="1">
        <v>164.1</v>
      </c>
      <c r="AA339" s="1">
        <v>166.5</v>
      </c>
      <c r="AB339" s="1">
        <v>169.2</v>
      </c>
      <c r="AC339" s="1">
        <v>163.8</v>
      </c>
      <c r="AD339" s="1">
        <v>171.4</v>
      </c>
    </row>
    <row r="340" ht="14.25" customHeight="1">
      <c r="A340" s="1" t="s">
        <v>34</v>
      </c>
      <c r="B340" s="1">
        <v>2022.0</v>
      </c>
      <c r="C340" s="1" t="s">
        <v>39</v>
      </c>
      <c r="D340" s="1">
        <v>155.0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176.0</v>
      </c>
      <c r="U340" s="1">
        <v>166.8</v>
      </c>
      <c r="V340" s="1">
        <v>176.0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169.0</v>
      </c>
      <c r="AB340" s="1">
        <v>169.4</v>
      </c>
      <c r="AC340" s="1">
        <v>167.5</v>
      </c>
      <c r="AD340" s="1">
        <v>172.6</v>
      </c>
    </row>
    <row r="341" ht="14.25" customHeight="1">
      <c r="A341" s="1" t="s">
        <v>30</v>
      </c>
      <c r="B341" s="1">
        <v>2022.0</v>
      </c>
      <c r="C341" s="1" t="s">
        <v>40</v>
      </c>
      <c r="D341" s="1">
        <v>155.2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182.0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ht="14.25" customHeight="1">
      <c r="A342" s="1" t="s">
        <v>33</v>
      </c>
      <c r="B342" s="1">
        <v>2022.0</v>
      </c>
      <c r="C342" s="1" t="s">
        <v>40</v>
      </c>
      <c r="D342" s="1">
        <v>159.3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164.0</v>
      </c>
      <c r="L342" s="1">
        <v>121.5</v>
      </c>
      <c r="M342" s="1">
        <v>186.3</v>
      </c>
      <c r="N342" s="1">
        <v>159.8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158.7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ht="14.25" customHeight="1">
      <c r="A343" s="1" t="s">
        <v>34</v>
      </c>
      <c r="B343" s="1">
        <v>2022.0</v>
      </c>
      <c r="C343" s="1" t="s">
        <v>40</v>
      </c>
      <c r="D343" s="1">
        <v>156.5</v>
      </c>
      <c r="E343" s="1">
        <v>213.0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120.0</v>
      </c>
      <c r="M343" s="1">
        <v>190.0</v>
      </c>
      <c r="N343" s="1">
        <v>168.4</v>
      </c>
      <c r="O343" s="1">
        <v>185.2</v>
      </c>
      <c r="P343" s="1">
        <v>175.0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ht="14.25" customHeight="1">
      <c r="A344" s="1" t="s">
        <v>30</v>
      </c>
      <c r="B344" s="1">
        <v>2022.0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184.0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183.0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ht="14.25" customHeight="1">
      <c r="A345" s="1" t="s">
        <v>33</v>
      </c>
      <c r="B345" s="1">
        <v>2022.0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160.0</v>
      </c>
      <c r="T345" s="1">
        <v>171.6</v>
      </c>
      <c r="U345" s="1">
        <v>169.0</v>
      </c>
      <c r="V345" s="1">
        <v>178.4</v>
      </c>
      <c r="W345" s="1">
        <v>164.2</v>
      </c>
      <c r="X345" s="1">
        <v>172.6</v>
      </c>
      <c r="Y345" s="1">
        <v>157.7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ht="14.25" customHeight="1">
      <c r="A346" s="1" t="s">
        <v>34</v>
      </c>
      <c r="B346" s="1">
        <v>2022.0</v>
      </c>
      <c r="C346" s="1" t="s">
        <v>41</v>
      </c>
      <c r="D346" s="1">
        <v>160.3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195.0</v>
      </c>
      <c r="R346" s="1">
        <v>179.5</v>
      </c>
      <c r="S346" s="1">
        <v>172.7</v>
      </c>
      <c r="T346" s="1">
        <v>178.5</v>
      </c>
      <c r="U346" s="1">
        <v>169.0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ht="14.25" customHeight="1">
      <c r="A347" s="1" t="s">
        <v>30</v>
      </c>
      <c r="B347" s="1">
        <v>2022.0</v>
      </c>
      <c r="C347" s="1" t="s">
        <v>42</v>
      </c>
      <c r="D347" s="1">
        <v>162.9</v>
      </c>
      <c r="E347" s="1">
        <v>206.7</v>
      </c>
      <c r="F347" s="1">
        <v>169.0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169.0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170.0</v>
      </c>
      <c r="AA347" s="1">
        <v>176.2</v>
      </c>
      <c r="AB347" s="1">
        <v>170.8</v>
      </c>
      <c r="AC347" s="1">
        <v>173.1</v>
      </c>
      <c r="AD347" s="1">
        <v>176.4</v>
      </c>
    </row>
    <row r="348" ht="14.25" customHeight="1">
      <c r="A348" s="1" t="s">
        <v>33</v>
      </c>
      <c r="B348" s="1">
        <v>2022.0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175.0</v>
      </c>
      <c r="S348" s="1">
        <v>161.7</v>
      </c>
      <c r="T348" s="1">
        <v>173.0</v>
      </c>
      <c r="U348" s="1">
        <v>169.5</v>
      </c>
      <c r="V348" s="1">
        <v>179.2</v>
      </c>
      <c r="W348" s="1">
        <v>165.0</v>
      </c>
      <c r="X348" s="1">
        <v>173.8</v>
      </c>
      <c r="Y348" s="1">
        <v>158.2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ht="14.25" customHeight="1">
      <c r="A349" s="1" t="s">
        <v>34</v>
      </c>
      <c r="B349" s="1">
        <v>2022.0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ht="14.25" customHeight="1">
      <c r="A350" s="1" t="s">
        <v>30</v>
      </c>
      <c r="B350" s="1">
        <v>2022.0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162.2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172.0</v>
      </c>
      <c r="AC350" s="1">
        <v>173.9</v>
      </c>
      <c r="AD350" s="1">
        <v>177.9</v>
      </c>
    </row>
    <row r="351" ht="14.25" customHeight="1">
      <c r="A351" s="1" t="s">
        <v>33</v>
      </c>
      <c r="B351" s="1">
        <v>2022.0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171.0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180.0</v>
      </c>
      <c r="W351" s="1">
        <v>166.0</v>
      </c>
      <c r="X351" s="1">
        <v>174.7</v>
      </c>
      <c r="Y351" s="1">
        <v>158.8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ht="14.25" customHeight="1">
      <c r="A352" s="1" t="s">
        <v>34</v>
      </c>
      <c r="B352" s="1">
        <v>2022.0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181.0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ht="14.25" customHeight="1">
      <c r="A353" s="1" t="s">
        <v>30</v>
      </c>
      <c r="B353" s="1">
        <v>2022.0</v>
      </c>
      <c r="C353" s="1" t="s">
        <v>45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194.0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ht="14.25" customHeight="1">
      <c r="A354" s="1" t="s">
        <v>33</v>
      </c>
      <c r="B354" s="1">
        <v>2022.0</v>
      </c>
      <c r="C354" s="1" t="s">
        <v>45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180.0</v>
      </c>
      <c r="I354" s="1">
        <v>162.6</v>
      </c>
      <c r="J354" s="1">
        <v>205.5</v>
      </c>
      <c r="K354" s="1">
        <v>171.0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ht="14.25" customHeight="1">
      <c r="A355" s="1" t="s">
        <v>34</v>
      </c>
      <c r="B355" s="1">
        <v>2022.0</v>
      </c>
      <c r="C355" s="1" t="s">
        <v>45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160.7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163.0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ht="14.25" customHeight="1">
      <c r="A356" s="1" t="s">
        <v>30</v>
      </c>
      <c r="B356" s="1">
        <v>2022.0</v>
      </c>
      <c r="C356" s="1" t="s">
        <v>46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156.7</v>
      </c>
      <c r="J356" s="1">
        <v>150.2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ht="14.25" customHeight="1">
      <c r="A357" s="1" t="s">
        <v>33</v>
      </c>
      <c r="B357" s="1">
        <v>2022.0</v>
      </c>
      <c r="C357" s="1" t="s">
        <v>46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176.0</v>
      </c>
      <c r="AC357" s="1">
        <v>168.2</v>
      </c>
      <c r="AD357" s="1">
        <v>174.1</v>
      </c>
    </row>
    <row r="358" ht="14.25" customHeight="1">
      <c r="A358" s="1" t="s">
        <v>34</v>
      </c>
      <c r="B358" s="1">
        <v>2022.0</v>
      </c>
      <c r="C358" s="1" t="s">
        <v>46</v>
      </c>
      <c r="D358" s="1">
        <v>169.2</v>
      </c>
      <c r="E358" s="1">
        <v>209.0</v>
      </c>
      <c r="F358" s="1">
        <v>190.2</v>
      </c>
      <c r="G358" s="1">
        <v>173.6</v>
      </c>
      <c r="H358" s="1">
        <v>188.5</v>
      </c>
      <c r="I358" s="1">
        <v>158.0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171.0</v>
      </c>
      <c r="O358" s="1">
        <v>190.3</v>
      </c>
      <c r="P358" s="1">
        <v>175.9</v>
      </c>
      <c r="Q358" s="1">
        <v>197.3</v>
      </c>
      <c r="R358" s="1">
        <v>184.0</v>
      </c>
      <c r="S358" s="1">
        <v>177.0</v>
      </c>
      <c r="T358" s="1">
        <v>183.0</v>
      </c>
      <c r="U358" s="1">
        <v>170.7</v>
      </c>
      <c r="V358" s="1">
        <v>182.0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172.0</v>
      </c>
      <c r="AD358" s="1">
        <v>175.7</v>
      </c>
    </row>
    <row r="359" ht="14.25" customHeight="1">
      <c r="A359" s="1" t="s">
        <v>30</v>
      </c>
      <c r="B359" s="1">
        <v>2023.0</v>
      </c>
      <c r="C359" s="1" t="s">
        <v>31</v>
      </c>
      <c r="D359" s="1">
        <v>174.0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175.0</v>
      </c>
      <c r="Q359" s="1">
        <v>196.9</v>
      </c>
      <c r="R359" s="1">
        <v>189.0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ht="14.25" customHeight="1">
      <c r="A360" s="1" t="s">
        <v>33</v>
      </c>
      <c r="B360" s="1">
        <v>2023.0</v>
      </c>
      <c r="C360" s="1" t="s">
        <v>31</v>
      </c>
      <c r="D360" s="1">
        <v>173.3</v>
      </c>
      <c r="E360" s="1">
        <v>215.2</v>
      </c>
      <c r="F360" s="1">
        <v>197.0</v>
      </c>
      <c r="G360" s="1">
        <v>175.2</v>
      </c>
      <c r="H360" s="1">
        <v>178.0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163.7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168.0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ht="14.25" customHeight="1">
      <c r="A361" s="1" t="s">
        <v>34</v>
      </c>
      <c r="B361" s="1">
        <v>2023.0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182.0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ht="14.25" customHeight="1">
      <c r="A362" s="1" t="s">
        <v>30</v>
      </c>
      <c r="B362" s="1">
        <v>2023.0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177.0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190.0</v>
      </c>
      <c r="S362" s="1">
        <v>187.0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169.0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178.0</v>
      </c>
    </row>
    <row r="363" ht="14.25" customHeight="1">
      <c r="A363" s="1" t="s">
        <v>33</v>
      </c>
      <c r="B363" s="1">
        <v>2023.0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167.0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</v>
      </c>
      <c r="Z363" s="1">
        <v>168.4</v>
      </c>
      <c r="AA363" s="1">
        <v>172.5</v>
      </c>
      <c r="AB363" s="1">
        <v>181.4</v>
      </c>
      <c r="AC363" s="1">
        <v>170.0</v>
      </c>
      <c r="AD363" s="1">
        <v>176.3</v>
      </c>
    </row>
    <row r="364" ht="14.25" customHeight="1">
      <c r="A364" s="1" t="s">
        <v>34</v>
      </c>
      <c r="B364" s="1">
        <v>2023.0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152.7</v>
      </c>
      <c r="K364" s="1">
        <v>171.0</v>
      </c>
      <c r="L364" s="1">
        <v>120.0</v>
      </c>
      <c r="M364" s="1">
        <v>209.7</v>
      </c>
      <c r="N364" s="1">
        <v>172.3</v>
      </c>
      <c r="O364" s="1">
        <v>193.0</v>
      </c>
      <c r="P364" s="1">
        <v>177.0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175.0</v>
      </c>
      <c r="AB364" s="1">
        <v>181.0</v>
      </c>
      <c r="AC364" s="1">
        <v>174.1</v>
      </c>
      <c r="AD364" s="1">
        <v>177.2</v>
      </c>
    </row>
    <row r="365" ht="14.25" customHeight="1">
      <c r="A365" s="1" t="s">
        <v>30</v>
      </c>
      <c r="B365" s="1">
        <v>2023.0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177.0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190.0</v>
      </c>
      <c r="S365" s="1">
        <v>187.0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169.0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178.0</v>
      </c>
    </row>
    <row r="366" ht="14.25" customHeight="1">
      <c r="A366" s="1" t="s">
        <v>33</v>
      </c>
      <c r="B366" s="1">
        <v>2023.0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167.0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</v>
      </c>
      <c r="Z366" s="1">
        <v>168.4</v>
      </c>
      <c r="AA366" s="1">
        <v>172.5</v>
      </c>
      <c r="AB366" s="1">
        <v>181.5</v>
      </c>
      <c r="AC366" s="1">
        <v>170.0</v>
      </c>
      <c r="AD366" s="1">
        <v>176.3</v>
      </c>
    </row>
    <row r="367" ht="14.25" customHeight="1">
      <c r="A367" s="1" t="s">
        <v>34</v>
      </c>
      <c r="B367" s="1">
        <v>2023.0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</v>
      </c>
      <c r="K367" s="1">
        <v>171.1</v>
      </c>
      <c r="L367" s="1">
        <v>120.0</v>
      </c>
      <c r="M367" s="1">
        <v>209.7</v>
      </c>
      <c r="N367" s="1">
        <v>172.3</v>
      </c>
      <c r="O367" s="1">
        <v>193.0</v>
      </c>
      <c r="P367" s="1">
        <v>177.0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175.0</v>
      </c>
      <c r="AB367" s="1">
        <v>181.0</v>
      </c>
      <c r="AC367" s="1">
        <v>174.1</v>
      </c>
      <c r="AD367" s="1">
        <v>177.2</v>
      </c>
    </row>
    <row r="368" ht="14.25" customHeight="1">
      <c r="A368" s="1" t="s">
        <v>30</v>
      </c>
      <c r="B368" s="1">
        <v>2023.0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48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ht="14.25" customHeight="1">
      <c r="A369" s="1" t="s">
        <v>33</v>
      </c>
      <c r="B369" s="1">
        <v>2023.0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197.0</v>
      </c>
      <c r="P369" s="1">
        <v>182.1</v>
      </c>
      <c r="Q369" s="1">
        <v>203.5</v>
      </c>
      <c r="R369" s="1">
        <v>181.0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ht="14.25" customHeight="1">
      <c r="A370" s="1" t="s">
        <v>34</v>
      </c>
      <c r="B370" s="1">
        <v>2023.0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185.0</v>
      </c>
      <c r="Y370" s="1">
        <v>164.5</v>
      </c>
      <c r="Z370" s="1">
        <v>170.7</v>
      </c>
      <c r="AA370" s="1">
        <v>176.4</v>
      </c>
      <c r="AB370" s="1">
        <v>184.0</v>
      </c>
      <c r="AC370" s="1">
        <v>175.0</v>
      </c>
      <c r="AD370" s="1">
        <v>178.1</v>
      </c>
    </row>
    <row r="371" ht="14.25" customHeight="1">
      <c r="A371" s="1" t="s">
        <v>30</v>
      </c>
      <c r="B371" s="1">
        <v>2023.0</v>
      </c>
      <c r="C371" s="1" t="s">
        <v>38</v>
      </c>
      <c r="D371" s="1">
        <v>173.2</v>
      </c>
      <c r="E371" s="1">
        <v>211.5</v>
      </c>
      <c r="F371" s="1">
        <v>171.0</v>
      </c>
      <c r="G371" s="1">
        <v>179.6</v>
      </c>
      <c r="H371" s="1">
        <v>173.3</v>
      </c>
      <c r="I371" s="1">
        <v>169.0</v>
      </c>
      <c r="J371" s="1">
        <v>148.7</v>
      </c>
      <c r="K371" s="1">
        <v>174.9</v>
      </c>
      <c r="L371" s="1">
        <v>121.9</v>
      </c>
      <c r="M371" s="1">
        <v>221.0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48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ht="14.25" customHeight="1">
      <c r="A372" s="1" t="s">
        <v>33</v>
      </c>
      <c r="B372" s="1">
        <v>2023.0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185.0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ht="14.25" customHeight="1">
      <c r="A373" s="1" t="s">
        <v>34</v>
      </c>
      <c r="B373" s="1">
        <v>2023.0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170.0</v>
      </c>
      <c r="I373" s="1">
        <v>172.2</v>
      </c>
      <c r="J373" s="1">
        <v>161.0</v>
      </c>
      <c r="K373" s="1">
        <v>175.6</v>
      </c>
      <c r="L373" s="1">
        <v>122.7</v>
      </c>
      <c r="M373" s="1">
        <v>218.0</v>
      </c>
      <c r="N373" s="1">
        <v>173.4</v>
      </c>
      <c r="O373" s="1">
        <v>194.2</v>
      </c>
      <c r="P373" s="1">
        <v>179.1</v>
      </c>
      <c r="Q373" s="1">
        <v>201.0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D$37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43"/>
    <col customWidth="1" min="2" max="2" width="7.29"/>
    <col customWidth="1" min="3" max="3" width="11.86"/>
    <col customWidth="1" min="4" max="4" width="20.14"/>
    <col customWidth="1" min="5" max="5" width="14.29"/>
    <col customWidth="1" min="6" max="6" width="7.0"/>
    <col customWidth="1" min="7" max="7" width="19.14"/>
    <col customWidth="1" min="8" max="8" width="15.57"/>
    <col customWidth="1" min="9" max="9" width="8.29"/>
    <col customWidth="1" min="10" max="10" width="15.71"/>
    <col customWidth="1" min="11" max="11" width="19.29"/>
    <col customWidth="1" min="12" max="12" width="23.57"/>
    <col customWidth="1" min="13" max="13" width="16.86"/>
    <col customWidth="1" min="14" max="14" width="23.29"/>
    <col customWidth="1" min="15" max="15" width="32.43"/>
    <col customWidth="1" min="16" max="16" width="19.57"/>
    <col customWidth="1" min="17" max="17" width="26.71"/>
    <col customWidth="1" min="18" max="18" width="10.43"/>
    <col customWidth="1" min="19" max="19" width="12.71"/>
    <col customWidth="1" min="20" max="20" width="23.29"/>
    <col customWidth="1" min="21" max="21" width="10.57"/>
    <col customWidth="1" min="22" max="22" width="14.29"/>
    <col customWidth="1" min="23" max="23" width="17.29"/>
    <col customWidth="1" min="24" max="24" width="16.71"/>
    <col customWidth="1" min="25" max="25" width="28.71"/>
    <col customWidth="1" min="26" max="26" width="25.57"/>
    <col customWidth="1" min="27" max="27" width="17.43"/>
    <col customWidth="1" min="28" max="28" width="24.14"/>
    <col customWidth="1" min="29" max="29" width="21.57"/>
    <col customWidth="1" min="30" max="30" width="15.29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ht="14.25" customHeight="1">
      <c r="A2" s="1" t="s">
        <v>30</v>
      </c>
      <c r="B2" s="1">
        <v>2013.0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>
        <v>100.3</v>
      </c>
      <c r="V2" s="1">
        <v>105.5</v>
      </c>
      <c r="W2" s="1">
        <v>104.8</v>
      </c>
      <c r="X2" s="1">
        <v>104.0</v>
      </c>
      <c r="Y2" s="1">
        <v>103.3</v>
      </c>
      <c r="Z2" s="1">
        <v>103.4</v>
      </c>
      <c r="AA2" s="1">
        <v>103.8</v>
      </c>
      <c r="AB2" s="1">
        <v>104.7</v>
      </c>
      <c r="AC2" s="1">
        <v>104.0</v>
      </c>
      <c r="AD2" s="1">
        <v>105.1</v>
      </c>
    </row>
    <row r="3" ht="14.25" customHeight="1">
      <c r="A3" s="1" t="s">
        <v>33</v>
      </c>
      <c r="B3" s="1">
        <v>2013.0</v>
      </c>
      <c r="C3" s="1" t="s">
        <v>31</v>
      </c>
      <c r="D3" s="1">
        <v>110.5</v>
      </c>
      <c r="E3" s="1">
        <v>109.1</v>
      </c>
      <c r="F3" s="1">
        <v>113.0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105.0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104.0</v>
      </c>
    </row>
    <row r="4" ht="14.25" customHeight="1">
      <c r="A4" s="1" t="s">
        <v>34</v>
      </c>
      <c r="B4" s="1">
        <v>2013.0</v>
      </c>
      <c r="C4" s="1" t="s">
        <v>31</v>
      </c>
      <c r="D4" s="1">
        <v>108.4</v>
      </c>
      <c r="E4" s="1">
        <v>107.3</v>
      </c>
      <c r="F4" s="1">
        <v>110.0</v>
      </c>
      <c r="G4" s="1">
        <v>104.4</v>
      </c>
      <c r="H4" s="1">
        <v>105.1</v>
      </c>
      <c r="I4" s="1">
        <v>103.2</v>
      </c>
      <c r="J4" s="1">
        <v>102.2</v>
      </c>
      <c r="K4" s="1">
        <v>106.0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104.0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ht="14.25" customHeight="1">
      <c r="A5" s="1" t="s">
        <v>30</v>
      </c>
      <c r="B5" s="1">
        <v>2013.0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104.0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107.0</v>
      </c>
      <c r="U5" s="1">
        <v>100.4</v>
      </c>
      <c r="V5" s="1">
        <v>106.2</v>
      </c>
      <c r="W5" s="1">
        <v>105.2</v>
      </c>
      <c r="X5" s="1">
        <v>104.4</v>
      </c>
      <c r="Y5" s="1">
        <v>103.9</v>
      </c>
      <c r="Z5" s="1">
        <v>104.0</v>
      </c>
      <c r="AA5" s="1">
        <v>104.1</v>
      </c>
      <c r="AB5" s="1">
        <v>104.6</v>
      </c>
      <c r="AC5" s="1">
        <v>104.4</v>
      </c>
      <c r="AD5" s="1">
        <v>105.8</v>
      </c>
    </row>
    <row r="6" ht="14.25" customHeight="1">
      <c r="A6" s="1" t="s">
        <v>33</v>
      </c>
      <c r="B6" s="1">
        <v>2013.0</v>
      </c>
      <c r="C6" s="1" t="s">
        <v>35</v>
      </c>
      <c r="D6" s="1">
        <v>112.9</v>
      </c>
      <c r="E6" s="1">
        <v>112.9</v>
      </c>
      <c r="F6" s="1">
        <v>116.9</v>
      </c>
      <c r="G6" s="1">
        <v>104.0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106.0</v>
      </c>
      <c r="O6" s="1">
        <v>109.0</v>
      </c>
      <c r="P6" s="1">
        <v>107.2</v>
      </c>
      <c r="Q6" s="1">
        <v>106.0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ht="14.25" customHeight="1">
      <c r="A7" s="1" t="s">
        <v>34</v>
      </c>
      <c r="B7" s="1">
        <v>2013.0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106.0</v>
      </c>
      <c r="T7" s="1">
        <v>106.8</v>
      </c>
      <c r="U7" s="1">
        <v>100.4</v>
      </c>
      <c r="V7" s="1">
        <v>106.0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ht="14.25" customHeight="1">
      <c r="A8" s="1" t="s">
        <v>30</v>
      </c>
      <c r="B8" s="1">
        <v>2013.0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105.0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>
        <v>100.4</v>
      </c>
      <c r="V8" s="1">
        <v>106.1</v>
      </c>
      <c r="W8" s="1">
        <v>105.6</v>
      </c>
      <c r="X8" s="1">
        <v>104.7</v>
      </c>
      <c r="Y8" s="1">
        <v>104.6</v>
      </c>
      <c r="Z8" s="1">
        <v>104.0</v>
      </c>
      <c r="AA8" s="1">
        <v>104.3</v>
      </c>
      <c r="AB8" s="1">
        <v>104.3</v>
      </c>
      <c r="AC8" s="1">
        <v>104.6</v>
      </c>
      <c r="AD8" s="1">
        <v>106.0</v>
      </c>
    </row>
    <row r="9" ht="14.25" customHeight="1">
      <c r="A9" s="1" t="s">
        <v>33</v>
      </c>
      <c r="B9" s="1">
        <v>2013.0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107.0</v>
      </c>
      <c r="O9" s="1">
        <v>109.8</v>
      </c>
      <c r="P9" s="1">
        <v>107.3</v>
      </c>
      <c r="Q9" s="1">
        <v>106.8</v>
      </c>
      <c r="R9" s="1">
        <v>107.2</v>
      </c>
      <c r="S9" s="1">
        <v>106.0</v>
      </c>
      <c r="T9" s="1">
        <v>107.0</v>
      </c>
      <c r="U9" s="1">
        <v>100.4</v>
      </c>
      <c r="V9" s="1">
        <v>106.0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105.0</v>
      </c>
    </row>
    <row r="10" ht="14.25" customHeight="1">
      <c r="A10" s="1" t="s">
        <v>34</v>
      </c>
      <c r="B10" s="1">
        <v>2013.0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105.0</v>
      </c>
      <c r="L10" s="1">
        <v>104.2</v>
      </c>
      <c r="M10" s="1">
        <v>103.0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104.0</v>
      </c>
      <c r="AB10" s="1">
        <v>104.3</v>
      </c>
      <c r="AC10" s="1">
        <v>104.7</v>
      </c>
      <c r="AD10" s="1">
        <v>105.5</v>
      </c>
    </row>
    <row r="11" ht="14.25" customHeight="1">
      <c r="A11" s="1" t="s">
        <v>30</v>
      </c>
      <c r="B11" s="1">
        <v>2013.0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108.0</v>
      </c>
      <c r="U11" s="1">
        <v>100.5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ht="14.25" customHeight="1">
      <c r="A12" s="1" t="s">
        <v>33</v>
      </c>
      <c r="B12" s="1">
        <v>2013.0</v>
      </c>
      <c r="C12" s="1" t="s">
        <v>37</v>
      </c>
      <c r="D12" s="1">
        <v>114.6</v>
      </c>
      <c r="E12" s="1">
        <v>113.4</v>
      </c>
      <c r="F12" s="1">
        <v>106.0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102.0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105.0</v>
      </c>
      <c r="Z12" s="1">
        <v>104.0</v>
      </c>
      <c r="AA12" s="1">
        <v>105.2</v>
      </c>
      <c r="AB12" s="1">
        <v>103.2</v>
      </c>
      <c r="AC12" s="1">
        <v>105.1</v>
      </c>
      <c r="AD12" s="1">
        <v>105.7</v>
      </c>
    </row>
    <row r="13" ht="14.25" customHeight="1">
      <c r="A13" s="1" t="s">
        <v>34</v>
      </c>
      <c r="B13" s="1">
        <v>2013.0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108.0</v>
      </c>
      <c r="S13" s="1">
        <v>107.0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105.0</v>
      </c>
      <c r="AB13" s="1">
        <v>102.9</v>
      </c>
      <c r="AC13" s="1">
        <v>104.8</v>
      </c>
      <c r="AD13" s="1">
        <v>106.1</v>
      </c>
    </row>
    <row r="14" ht="14.25" customHeight="1">
      <c r="A14" s="1" t="s">
        <v>30</v>
      </c>
      <c r="B14" s="1">
        <v>2013.0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104.0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>
        <v>100.5</v>
      </c>
      <c r="V14" s="1">
        <v>107.5</v>
      </c>
      <c r="W14" s="1">
        <v>106.8</v>
      </c>
      <c r="X14" s="1">
        <v>105.7</v>
      </c>
      <c r="Y14" s="1">
        <v>104.1</v>
      </c>
      <c r="Z14" s="1">
        <v>105.0</v>
      </c>
      <c r="AA14" s="1">
        <v>105.5</v>
      </c>
      <c r="AB14" s="1">
        <v>102.1</v>
      </c>
      <c r="AC14" s="1">
        <v>104.8</v>
      </c>
      <c r="AD14" s="1">
        <v>107.2</v>
      </c>
    </row>
    <row r="15" ht="14.25" customHeight="1">
      <c r="A15" s="1" t="s">
        <v>33</v>
      </c>
      <c r="B15" s="1">
        <v>2013.0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105.0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ht="14.25" customHeight="1">
      <c r="A16" s="1" t="s">
        <v>34</v>
      </c>
      <c r="B16" s="1">
        <v>2013.0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104.0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ht="14.25" customHeight="1">
      <c r="A17" s="1" t="s">
        <v>30</v>
      </c>
      <c r="B17" s="1">
        <v>2013.0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118.0</v>
      </c>
      <c r="K17" s="1">
        <v>106.8</v>
      </c>
      <c r="L17" s="1">
        <v>104.1</v>
      </c>
      <c r="M17" s="1">
        <v>105.4</v>
      </c>
      <c r="N17" s="1">
        <v>108.2</v>
      </c>
      <c r="O17" s="1">
        <v>111.0</v>
      </c>
      <c r="P17" s="1">
        <v>110.6</v>
      </c>
      <c r="Q17" s="1">
        <v>109.0</v>
      </c>
      <c r="R17" s="1">
        <v>109.7</v>
      </c>
      <c r="S17" s="1">
        <v>108.8</v>
      </c>
      <c r="T17" s="1">
        <v>109.5</v>
      </c>
      <c r="U17" s="1">
        <v>106.6</v>
      </c>
      <c r="V17" s="1">
        <v>108.5</v>
      </c>
      <c r="W17" s="1">
        <v>107.5</v>
      </c>
      <c r="X17" s="1">
        <v>106.3</v>
      </c>
      <c r="Y17" s="1">
        <v>105.0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ht="14.25" customHeight="1">
      <c r="A18" s="1" t="s">
        <v>33</v>
      </c>
      <c r="B18" s="1">
        <v>2013.0</v>
      </c>
      <c r="C18" s="1" t="s">
        <v>39</v>
      </c>
      <c r="D18" s="1">
        <v>117.0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110.0</v>
      </c>
      <c r="O18" s="1">
        <v>112.2</v>
      </c>
      <c r="P18" s="1">
        <v>115.0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108.0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ht="14.25" customHeight="1">
      <c r="A19" s="1" t="s">
        <v>34</v>
      </c>
      <c r="B19" s="1">
        <v>2013.0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109.0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ht="14.25" customHeight="1">
      <c r="A20" s="1" t="s">
        <v>30</v>
      </c>
      <c r="B20" s="1">
        <v>2013.0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129.2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>
        <v>107.7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ht="14.25" customHeight="1">
      <c r="A21" s="1" t="s">
        <v>33</v>
      </c>
      <c r="B21" s="1">
        <v>2013.0</v>
      </c>
      <c r="C21" s="1" t="s">
        <v>40</v>
      </c>
      <c r="D21" s="1">
        <v>117.8</v>
      </c>
      <c r="E21" s="1">
        <v>119.2</v>
      </c>
      <c r="F21" s="1">
        <v>114.0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ht="14.25" customHeight="1">
      <c r="A22" s="1" t="s">
        <v>34</v>
      </c>
      <c r="B22" s="1">
        <v>2013.0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140.0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110.0</v>
      </c>
      <c r="U22" s="1">
        <v>107.7</v>
      </c>
      <c r="V22" s="1">
        <v>109.2</v>
      </c>
      <c r="W22" s="1">
        <v>108.2</v>
      </c>
      <c r="X22" s="1">
        <v>107.0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111.0</v>
      </c>
    </row>
    <row r="23" ht="14.25" customHeight="1">
      <c r="A23" s="1" t="s">
        <v>30</v>
      </c>
      <c r="B23" s="1">
        <v>2013.0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110.0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>
        <v>108.9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105.0</v>
      </c>
      <c r="AC23" s="1">
        <v>107.5</v>
      </c>
      <c r="AD23" s="1">
        <v>112.1</v>
      </c>
    </row>
    <row r="24" ht="14.25" customHeight="1">
      <c r="A24" s="1" t="s">
        <v>33</v>
      </c>
      <c r="B24" s="1">
        <v>2013.0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177.0</v>
      </c>
      <c r="K24" s="1">
        <v>104.7</v>
      </c>
      <c r="L24" s="1">
        <v>101.0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106.0</v>
      </c>
      <c r="AC24" s="1">
        <v>108.3</v>
      </c>
      <c r="AD24" s="1">
        <v>112.7</v>
      </c>
    </row>
    <row r="25" ht="14.25" customHeight="1">
      <c r="A25" s="1" t="s">
        <v>34</v>
      </c>
      <c r="B25" s="1">
        <v>2013.0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111.0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108.0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ht="14.25" customHeight="1">
      <c r="A26" s="1" t="s">
        <v>30</v>
      </c>
      <c r="B26" s="1">
        <v>2013.0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111.0</v>
      </c>
      <c r="H26" s="1">
        <v>107.4</v>
      </c>
      <c r="I26" s="1">
        <v>110.9</v>
      </c>
      <c r="J26" s="1">
        <v>154.0</v>
      </c>
      <c r="K26" s="1">
        <v>108.1</v>
      </c>
      <c r="L26" s="1">
        <v>104.2</v>
      </c>
      <c r="M26" s="1">
        <v>107.9</v>
      </c>
      <c r="N26" s="1">
        <v>110.4</v>
      </c>
      <c r="O26" s="1">
        <v>114.0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>
        <v>109.7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ht="14.25" customHeight="1">
      <c r="A27" s="1" t="s">
        <v>33</v>
      </c>
      <c r="B27" s="1">
        <v>2013.0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109.0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ht="14.25" customHeight="1">
      <c r="A28" s="1" t="s">
        <v>34</v>
      </c>
      <c r="B28" s="1">
        <v>2013.0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112.0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109.0</v>
      </c>
      <c r="AD28" s="1">
        <v>113.7</v>
      </c>
    </row>
    <row r="29" ht="14.25" customHeight="1">
      <c r="A29" s="1" t="s">
        <v>30</v>
      </c>
      <c r="B29" s="1">
        <v>2013.0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>
        <v>110.5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ht="14.25" customHeight="1">
      <c r="A30" s="1" t="s">
        <v>33</v>
      </c>
      <c r="B30" s="1">
        <v>2013.0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116.0</v>
      </c>
      <c r="P30" s="1">
        <v>120.8</v>
      </c>
      <c r="Q30" s="1">
        <v>113.5</v>
      </c>
      <c r="R30" s="1">
        <v>112.5</v>
      </c>
      <c r="S30" s="1">
        <v>109.7</v>
      </c>
      <c r="T30" s="1">
        <v>112.0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108.0</v>
      </c>
      <c r="AA30" s="1">
        <v>111.3</v>
      </c>
      <c r="AB30" s="1">
        <v>107.3</v>
      </c>
      <c r="AC30" s="1">
        <v>109.4</v>
      </c>
      <c r="AD30" s="1">
        <v>114.0</v>
      </c>
    </row>
    <row r="31" ht="14.25" customHeight="1">
      <c r="A31" s="1" t="s">
        <v>34</v>
      </c>
      <c r="B31" s="1">
        <v>2013.0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ht="14.25" customHeight="1">
      <c r="A32" s="1" t="s">
        <v>30</v>
      </c>
      <c r="B32" s="1">
        <v>2013.0</v>
      </c>
      <c r="C32" s="1" t="s">
        <v>45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109.0</v>
      </c>
      <c r="N32" s="1">
        <v>111.8</v>
      </c>
      <c r="O32" s="1">
        <v>116.0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>
        <v>111.1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111.0</v>
      </c>
      <c r="AB32" s="1">
        <v>108.2</v>
      </c>
      <c r="AC32" s="1">
        <v>109.8</v>
      </c>
      <c r="AD32" s="1">
        <v>117.4</v>
      </c>
    </row>
    <row r="33" ht="14.25" customHeight="1">
      <c r="A33" s="1" t="s">
        <v>33</v>
      </c>
      <c r="B33" s="1">
        <v>2013.0</v>
      </c>
      <c r="C33" s="1" t="s">
        <v>45</v>
      </c>
      <c r="D33" s="1">
        <v>119.8</v>
      </c>
      <c r="E33" s="1">
        <v>116.3</v>
      </c>
      <c r="F33" s="1">
        <v>122.6</v>
      </c>
      <c r="G33" s="1">
        <v>112.0</v>
      </c>
      <c r="H33" s="1">
        <v>103.2</v>
      </c>
      <c r="I33" s="1">
        <v>110.0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113.0</v>
      </c>
      <c r="U33" s="1">
        <v>111.1</v>
      </c>
      <c r="V33" s="1">
        <v>110.0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115.0</v>
      </c>
    </row>
    <row r="34" ht="14.25" customHeight="1">
      <c r="A34" s="1" t="s">
        <v>34</v>
      </c>
      <c r="B34" s="1">
        <v>2013.0</v>
      </c>
      <c r="C34" s="1" t="s">
        <v>45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ht="14.25" customHeight="1">
      <c r="A35" s="1" t="s">
        <v>30</v>
      </c>
      <c r="B35" s="1">
        <v>2013.0</v>
      </c>
      <c r="C35" s="1" t="s">
        <v>46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145.7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114.0</v>
      </c>
      <c r="T35" s="1">
        <v>115.5</v>
      </c>
      <c r="U35" s="1">
        <v>110.7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ht="14.25" customHeight="1">
      <c r="A36" s="1" t="s">
        <v>33</v>
      </c>
      <c r="B36" s="1">
        <v>2013.0</v>
      </c>
      <c r="C36" s="1" t="s">
        <v>46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115.0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109.0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ht="14.25" customHeight="1">
      <c r="A37" s="1" t="s">
        <v>34</v>
      </c>
      <c r="B37" s="1">
        <v>2013.0</v>
      </c>
      <c r="C37" s="1" t="s">
        <v>46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114.0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109.0</v>
      </c>
      <c r="AA37" s="1">
        <v>111.5</v>
      </c>
      <c r="AB37" s="1">
        <v>107.9</v>
      </c>
      <c r="AC37" s="1">
        <v>110.0</v>
      </c>
      <c r="AD37" s="1">
        <v>114.5</v>
      </c>
    </row>
    <row r="38" ht="14.25" customHeight="1">
      <c r="A38" s="1" t="s">
        <v>30</v>
      </c>
      <c r="B38" s="1">
        <v>2014.0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109.0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116.0</v>
      </c>
      <c r="Q38" s="1">
        <v>114.0</v>
      </c>
      <c r="R38" s="1">
        <v>116.5</v>
      </c>
      <c r="S38" s="1">
        <v>114.5</v>
      </c>
      <c r="T38" s="1">
        <v>116.2</v>
      </c>
      <c r="U38" s="1">
        <v>111.6</v>
      </c>
      <c r="V38" s="1">
        <v>113.0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ht="14.25" customHeight="1">
      <c r="A39" s="1" t="s">
        <v>33</v>
      </c>
      <c r="B39" s="1">
        <v>2014.0</v>
      </c>
      <c r="C39" s="1" t="s">
        <v>31</v>
      </c>
      <c r="D39" s="1">
        <v>121.2</v>
      </c>
      <c r="E39" s="1">
        <v>122.0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119.0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111.0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108.0</v>
      </c>
      <c r="AC39" s="1">
        <v>110.5</v>
      </c>
      <c r="AD39" s="1">
        <v>112.9</v>
      </c>
    </row>
    <row r="40" ht="14.25" customHeight="1">
      <c r="A40" s="1" t="s">
        <v>34</v>
      </c>
      <c r="B40" s="1">
        <v>2014.0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111.0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ht="14.25" customHeight="1">
      <c r="A41" s="1" t="s">
        <v>30</v>
      </c>
      <c r="B41" s="1">
        <v>2014.0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115.0</v>
      </c>
      <c r="H41" s="1">
        <v>109.0</v>
      </c>
      <c r="I41" s="1">
        <v>116.6</v>
      </c>
      <c r="J41" s="1">
        <v>116.0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>
        <v>112.5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112.0</v>
      </c>
      <c r="AB41" s="1">
        <v>108.7</v>
      </c>
      <c r="AC41" s="1">
        <v>110.9</v>
      </c>
      <c r="AD41" s="1">
        <v>114.0</v>
      </c>
    </row>
    <row r="42" ht="14.25" customHeight="1">
      <c r="A42" s="1" t="s">
        <v>33</v>
      </c>
      <c r="B42" s="1">
        <v>2014.0</v>
      </c>
      <c r="C42" s="1" t="s">
        <v>35</v>
      </c>
      <c r="D42" s="1">
        <v>121.9</v>
      </c>
      <c r="E42" s="1">
        <v>122.0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111.0</v>
      </c>
      <c r="AD42" s="1">
        <v>113.1</v>
      </c>
    </row>
    <row r="43" ht="14.25" customHeight="1">
      <c r="A43" s="1" t="s">
        <v>34</v>
      </c>
      <c r="B43" s="1">
        <v>2014.0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ht="14.25" customHeight="1">
      <c r="A44" s="1" t="s">
        <v>30</v>
      </c>
      <c r="B44" s="1">
        <v>2014.0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113.0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>
        <v>113.2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ht="14.25" customHeight="1">
      <c r="A45" s="1" t="s">
        <v>33</v>
      </c>
      <c r="B45" s="1">
        <v>2014.0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116.0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113.0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ht="14.25" customHeight="1">
      <c r="A46" s="1" t="s">
        <v>34</v>
      </c>
      <c r="B46" s="1">
        <v>2014.0</v>
      </c>
      <c r="C46" s="1" t="s">
        <v>36</v>
      </c>
      <c r="D46" s="1">
        <v>120.7</v>
      </c>
      <c r="E46" s="1">
        <v>119.3</v>
      </c>
      <c r="F46" s="1">
        <v>121.0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112.0</v>
      </c>
      <c r="AB46" s="1">
        <v>109.0</v>
      </c>
      <c r="AC46" s="1">
        <v>111.3</v>
      </c>
      <c r="AD46" s="1">
        <v>114.2</v>
      </c>
    </row>
    <row r="47" ht="14.25" customHeight="1">
      <c r="A47" s="1" t="s">
        <v>30</v>
      </c>
      <c r="B47" s="1">
        <v>2014.0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117.0</v>
      </c>
      <c r="H47" s="1">
        <v>109.7</v>
      </c>
      <c r="I47" s="1">
        <v>125.5</v>
      </c>
      <c r="J47" s="1">
        <v>120.5</v>
      </c>
      <c r="K47" s="1">
        <v>111.0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>
        <v>113.9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113.0</v>
      </c>
      <c r="AB47" s="1">
        <v>108.9</v>
      </c>
      <c r="AC47" s="1">
        <v>111.5</v>
      </c>
      <c r="AD47" s="1">
        <v>115.4</v>
      </c>
    </row>
    <row r="48" ht="14.25" customHeight="1">
      <c r="A48" s="1" t="s">
        <v>33</v>
      </c>
      <c r="B48" s="1">
        <v>2014.0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117.0</v>
      </c>
      <c r="H48" s="1">
        <v>103.1</v>
      </c>
      <c r="I48" s="1">
        <v>126.7</v>
      </c>
      <c r="J48" s="1">
        <v>121.2</v>
      </c>
      <c r="K48" s="1">
        <v>111.0</v>
      </c>
      <c r="L48" s="1">
        <v>100.3</v>
      </c>
      <c r="M48" s="1">
        <v>115.3</v>
      </c>
      <c r="N48" s="1">
        <v>112.7</v>
      </c>
      <c r="O48" s="1">
        <v>121.0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111.0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ht="14.25" customHeight="1">
      <c r="A49" s="1" t="s">
        <v>34</v>
      </c>
      <c r="B49" s="1">
        <v>2014.0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117.0</v>
      </c>
      <c r="H49" s="1">
        <v>107.3</v>
      </c>
      <c r="I49" s="1">
        <v>126.1</v>
      </c>
      <c r="J49" s="1">
        <v>120.7</v>
      </c>
      <c r="K49" s="1">
        <v>111.0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116.0</v>
      </c>
      <c r="R49" s="1">
        <v>117.4</v>
      </c>
      <c r="S49" s="1">
        <v>114.6</v>
      </c>
      <c r="T49" s="1">
        <v>117.0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109.0</v>
      </c>
      <c r="AC49" s="1">
        <v>111.5</v>
      </c>
      <c r="AD49" s="1">
        <v>115.1</v>
      </c>
    </row>
    <row r="50" ht="14.25" customHeight="1">
      <c r="A50" s="1" t="s">
        <v>30</v>
      </c>
      <c r="B50" s="1">
        <v>2014.0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118.0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>
        <v>114.3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116.0</v>
      </c>
    </row>
    <row r="51" ht="14.25" customHeight="1">
      <c r="A51" s="1" t="s">
        <v>33</v>
      </c>
      <c r="B51" s="1">
        <v>2014.0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129.2</v>
      </c>
      <c r="J51" s="1">
        <v>127.0</v>
      </c>
      <c r="K51" s="1">
        <v>112.6</v>
      </c>
      <c r="L51" s="1">
        <v>101.3</v>
      </c>
      <c r="M51" s="1">
        <v>117.0</v>
      </c>
      <c r="N51" s="1">
        <v>112.9</v>
      </c>
      <c r="O51" s="1">
        <v>121.7</v>
      </c>
      <c r="P51" s="1">
        <v>120.0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ht="14.25" customHeight="1">
      <c r="A52" s="1" t="s">
        <v>34</v>
      </c>
      <c r="B52" s="1">
        <v>2014.0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125.0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118.0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113.0</v>
      </c>
      <c r="AB52" s="1">
        <v>109.1</v>
      </c>
      <c r="AC52" s="1">
        <v>111.8</v>
      </c>
      <c r="AD52" s="1">
        <v>115.8</v>
      </c>
    </row>
    <row r="53" ht="14.25" customHeight="1">
      <c r="A53" s="1" t="s">
        <v>30</v>
      </c>
      <c r="B53" s="1">
        <v>2014.0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>
        <v>113.9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108.0</v>
      </c>
      <c r="AC53" s="1">
        <v>112.3</v>
      </c>
      <c r="AD53" s="1">
        <v>117.0</v>
      </c>
    </row>
    <row r="54" ht="14.25" customHeight="1">
      <c r="A54" s="1" t="s">
        <v>33</v>
      </c>
      <c r="B54" s="1">
        <v>2014.0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131.2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122.0</v>
      </c>
      <c r="Q54" s="1">
        <v>119.0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ht="14.25" customHeight="1">
      <c r="A55" s="1" t="s">
        <v>34</v>
      </c>
      <c r="B55" s="1">
        <v>2014.0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ht="14.25" customHeight="1">
      <c r="A56" s="1" t="s">
        <v>30</v>
      </c>
      <c r="B56" s="1">
        <v>2014.0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118.0</v>
      </c>
      <c r="R56" s="1">
        <v>120.7</v>
      </c>
      <c r="S56" s="1">
        <v>118.3</v>
      </c>
      <c r="T56" s="1">
        <v>120.3</v>
      </c>
      <c r="U56" s="1">
        <v>114.8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ht="14.25" customHeight="1">
      <c r="A57" s="1" t="s">
        <v>33</v>
      </c>
      <c r="B57" s="1">
        <v>2014.0</v>
      </c>
      <c r="C57" s="1" t="s">
        <v>40</v>
      </c>
      <c r="D57" s="1">
        <v>123.8</v>
      </c>
      <c r="E57" s="1">
        <v>126.4</v>
      </c>
      <c r="F57" s="1">
        <v>118.0</v>
      </c>
      <c r="G57" s="1">
        <v>121.6</v>
      </c>
      <c r="H57" s="1">
        <v>103.5</v>
      </c>
      <c r="I57" s="1">
        <v>133.7</v>
      </c>
      <c r="J57" s="1">
        <v>172.4</v>
      </c>
      <c r="K57" s="1">
        <v>113.1</v>
      </c>
      <c r="L57" s="1">
        <v>102.7</v>
      </c>
      <c r="M57" s="1">
        <v>120.0</v>
      </c>
      <c r="N57" s="1">
        <v>113.8</v>
      </c>
      <c r="O57" s="1">
        <v>123.4</v>
      </c>
      <c r="P57" s="1">
        <v>127.1</v>
      </c>
      <c r="Q57" s="1">
        <v>121.0</v>
      </c>
      <c r="R57" s="1">
        <v>118.0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113.0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ht="14.25" customHeight="1">
      <c r="A58" s="1" t="s">
        <v>34</v>
      </c>
      <c r="B58" s="1">
        <v>2014.0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121.0</v>
      </c>
      <c r="H58" s="1">
        <v>107.9</v>
      </c>
      <c r="I58" s="1">
        <v>131.2</v>
      </c>
      <c r="J58" s="1">
        <v>157.7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ht="14.25" customHeight="1">
      <c r="A59" s="1" t="s">
        <v>30</v>
      </c>
      <c r="B59" s="1">
        <v>2014.0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129.7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>
        <v>115.5</v>
      </c>
      <c r="V59" s="1">
        <v>115.4</v>
      </c>
      <c r="W59" s="1">
        <v>115.9</v>
      </c>
      <c r="X59" s="1">
        <v>114.0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ht="14.25" customHeight="1">
      <c r="A60" s="1" t="s">
        <v>33</v>
      </c>
      <c r="B60" s="1">
        <v>2014.0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132.7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123.0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ht="14.25" customHeight="1">
      <c r="A61" s="1" t="s">
        <v>34</v>
      </c>
      <c r="B61" s="1">
        <v>2014.0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122.0</v>
      </c>
      <c r="H61" s="1">
        <v>108.0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120.0</v>
      </c>
      <c r="S61" s="1">
        <v>116.8</v>
      </c>
      <c r="T61" s="1">
        <v>119.6</v>
      </c>
      <c r="U61" s="1">
        <v>115.5</v>
      </c>
      <c r="V61" s="1">
        <v>114.0</v>
      </c>
      <c r="W61" s="1">
        <v>115.6</v>
      </c>
      <c r="X61" s="1">
        <v>113.3</v>
      </c>
      <c r="Y61" s="1">
        <v>112.8</v>
      </c>
      <c r="Z61" s="1">
        <v>112.6</v>
      </c>
      <c r="AA61" s="1">
        <v>118.0</v>
      </c>
      <c r="AB61" s="1">
        <v>109.9</v>
      </c>
      <c r="AC61" s="1">
        <v>113.7</v>
      </c>
      <c r="AD61" s="1">
        <v>120.3</v>
      </c>
    </row>
    <row r="62" ht="14.25" customHeight="1">
      <c r="A62" s="1" t="s">
        <v>30</v>
      </c>
      <c r="B62" s="1">
        <v>2014.0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</v>
      </c>
      <c r="J62" s="1">
        <v>158.8</v>
      </c>
      <c r="K62" s="1">
        <v>115.0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>
        <v>116.1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ht="14.25" customHeight="1">
      <c r="A63" s="1" t="s">
        <v>33</v>
      </c>
      <c r="B63" s="1">
        <v>2014.0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120.0</v>
      </c>
      <c r="AB63" s="1">
        <v>110.0</v>
      </c>
      <c r="AC63" s="1">
        <v>113.6</v>
      </c>
      <c r="AD63" s="1">
        <v>119.2</v>
      </c>
    </row>
    <row r="64" ht="14.25" customHeight="1">
      <c r="A64" s="1" t="s">
        <v>34</v>
      </c>
      <c r="B64" s="1">
        <v>2014.0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112.0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ht="14.25" customHeight="1">
      <c r="A65" s="1" t="s">
        <v>30</v>
      </c>
      <c r="B65" s="1">
        <v>2014.0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</v>
      </c>
      <c r="K65" s="1">
        <v>115.5</v>
      </c>
      <c r="L65" s="1">
        <v>104.0</v>
      </c>
      <c r="M65" s="1">
        <v>115.3</v>
      </c>
      <c r="N65" s="1">
        <v>116.8</v>
      </c>
      <c r="O65" s="1">
        <v>123.2</v>
      </c>
      <c r="P65" s="1">
        <v>125.1</v>
      </c>
      <c r="Q65" s="1">
        <v>120.0</v>
      </c>
      <c r="R65" s="1">
        <v>122.7</v>
      </c>
      <c r="S65" s="1">
        <v>120.3</v>
      </c>
      <c r="T65" s="1">
        <v>122.3</v>
      </c>
      <c r="U65" s="1">
        <v>116.7</v>
      </c>
      <c r="V65" s="1">
        <v>116.4</v>
      </c>
      <c r="W65" s="1">
        <v>117.5</v>
      </c>
      <c r="X65" s="1">
        <v>115.3</v>
      </c>
      <c r="Y65" s="1">
        <v>112.6</v>
      </c>
      <c r="Z65" s="1">
        <v>113.0</v>
      </c>
      <c r="AA65" s="1">
        <v>116.9</v>
      </c>
      <c r="AB65" s="1">
        <v>109.3</v>
      </c>
      <c r="AC65" s="1">
        <v>114.0</v>
      </c>
      <c r="AD65" s="1">
        <v>121.0</v>
      </c>
    </row>
    <row r="66" ht="14.25" customHeight="1">
      <c r="A66" s="1" t="s">
        <v>33</v>
      </c>
      <c r="B66" s="1">
        <v>2014.0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112.0</v>
      </c>
      <c r="W66" s="1">
        <v>115.8</v>
      </c>
      <c r="X66" s="1">
        <v>112.6</v>
      </c>
      <c r="Y66" s="1">
        <v>111.0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ht="14.25" customHeight="1">
      <c r="A67" s="1" t="s">
        <v>34</v>
      </c>
      <c r="B67" s="1">
        <v>2014.0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121.0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ht="14.25" customHeight="1">
      <c r="A68" s="1" t="s">
        <v>30</v>
      </c>
      <c r="B68" s="1">
        <v>2014.0</v>
      </c>
      <c r="C68" s="1" t="s">
        <v>45</v>
      </c>
      <c r="D68" s="1">
        <v>122.7</v>
      </c>
      <c r="E68" s="1">
        <v>122.6</v>
      </c>
      <c r="F68" s="1">
        <v>119.9</v>
      </c>
      <c r="G68" s="1">
        <v>124.0</v>
      </c>
      <c r="H68" s="1">
        <v>110.5</v>
      </c>
      <c r="I68" s="1">
        <v>128.8</v>
      </c>
      <c r="J68" s="1">
        <v>152.0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>
        <v>117.1</v>
      </c>
      <c r="V68" s="1">
        <v>117.3</v>
      </c>
      <c r="W68" s="1">
        <v>118.1</v>
      </c>
      <c r="X68" s="1">
        <v>115.9</v>
      </c>
      <c r="Y68" s="1">
        <v>112.0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ht="14.25" customHeight="1">
      <c r="A69" s="1" t="s">
        <v>33</v>
      </c>
      <c r="B69" s="1">
        <v>2014.0</v>
      </c>
      <c r="C69" s="1" t="s">
        <v>45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153.2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113.0</v>
      </c>
      <c r="Y69" s="1">
        <v>109.7</v>
      </c>
      <c r="Z69" s="1">
        <v>114.0</v>
      </c>
      <c r="AA69" s="1">
        <v>120.3</v>
      </c>
      <c r="AB69" s="1">
        <v>109.6</v>
      </c>
      <c r="AC69" s="1">
        <v>113.4</v>
      </c>
      <c r="AD69" s="1">
        <v>119.0</v>
      </c>
    </row>
    <row r="70" ht="14.25" customHeight="1">
      <c r="A70" s="1" t="s">
        <v>34</v>
      </c>
      <c r="B70" s="1">
        <v>2014.0</v>
      </c>
      <c r="C70" s="1" t="s">
        <v>45</v>
      </c>
      <c r="D70" s="1">
        <v>123.3</v>
      </c>
      <c r="E70" s="1">
        <v>123.7</v>
      </c>
      <c r="F70" s="1">
        <v>121.0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119.0</v>
      </c>
      <c r="AB70" s="1">
        <v>109.1</v>
      </c>
      <c r="AC70" s="1">
        <v>113.8</v>
      </c>
      <c r="AD70" s="1">
        <v>120.1</v>
      </c>
    </row>
    <row r="71" ht="14.25" customHeight="1">
      <c r="A71" s="1" t="s">
        <v>30</v>
      </c>
      <c r="B71" s="1">
        <v>2014.0</v>
      </c>
      <c r="C71" s="1" t="s">
        <v>46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</v>
      </c>
      <c r="K71" s="1">
        <v>116.3</v>
      </c>
      <c r="L71" s="1">
        <v>102.0</v>
      </c>
      <c r="M71" s="1">
        <v>116.0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>
        <v>116.5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ht="14.25" customHeight="1">
      <c r="A72" s="1" t="s">
        <v>33</v>
      </c>
      <c r="B72" s="1">
        <v>2014.0</v>
      </c>
      <c r="C72" s="1" t="s">
        <v>46</v>
      </c>
      <c r="D72" s="1">
        <v>124.0</v>
      </c>
      <c r="E72" s="1">
        <v>124.7</v>
      </c>
      <c r="F72" s="1">
        <v>126.3</v>
      </c>
      <c r="G72" s="1">
        <v>124.9</v>
      </c>
      <c r="H72" s="1">
        <v>103.0</v>
      </c>
      <c r="I72" s="1">
        <v>122.3</v>
      </c>
      <c r="J72" s="1">
        <v>141.0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124.0</v>
      </c>
      <c r="Q72" s="1">
        <v>126.4</v>
      </c>
      <c r="R72" s="1">
        <v>120.7</v>
      </c>
      <c r="S72" s="1">
        <v>115.8</v>
      </c>
      <c r="T72" s="1">
        <v>120.0</v>
      </c>
      <c r="U72" s="1">
        <v>116.5</v>
      </c>
      <c r="V72" s="1">
        <v>113.0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ht="14.25" customHeight="1">
      <c r="A73" s="1" t="s">
        <v>34</v>
      </c>
      <c r="B73" s="1">
        <v>2014.0</v>
      </c>
      <c r="C73" s="1" t="s">
        <v>46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123.0</v>
      </c>
      <c r="R73" s="1">
        <v>122.6</v>
      </c>
      <c r="S73" s="1">
        <v>118.6</v>
      </c>
      <c r="T73" s="1">
        <v>122.0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ht="14.25" customHeight="1">
      <c r="A74" s="1" t="s">
        <v>30</v>
      </c>
      <c r="B74" s="1">
        <v>2015.0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111.0</v>
      </c>
      <c r="I74" s="1">
        <v>130.4</v>
      </c>
      <c r="J74" s="1">
        <v>132.3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124.0</v>
      </c>
      <c r="U74" s="1">
        <v>117.3</v>
      </c>
      <c r="V74" s="1">
        <v>118.4</v>
      </c>
      <c r="W74" s="1">
        <v>118.9</v>
      </c>
      <c r="X74" s="1">
        <v>116.6</v>
      </c>
      <c r="Y74" s="1">
        <v>111.0</v>
      </c>
      <c r="Z74" s="1">
        <v>114.0</v>
      </c>
      <c r="AA74" s="1">
        <v>118.2</v>
      </c>
      <c r="AB74" s="1">
        <v>110.2</v>
      </c>
      <c r="AC74" s="1">
        <v>114.5</v>
      </c>
      <c r="AD74" s="1">
        <v>120.3</v>
      </c>
    </row>
    <row r="75" ht="14.25" customHeight="1">
      <c r="A75" s="1" t="s">
        <v>33</v>
      </c>
      <c r="B75" s="1">
        <v>2015.0</v>
      </c>
      <c r="C75" s="1" t="s">
        <v>31</v>
      </c>
      <c r="D75" s="1">
        <v>124.0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128.0</v>
      </c>
      <c r="P75" s="1">
        <v>123.5</v>
      </c>
      <c r="Q75" s="1">
        <v>127.4</v>
      </c>
      <c r="R75" s="1">
        <v>121.0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ht="14.25" customHeight="1">
      <c r="A76" s="1" t="s">
        <v>34</v>
      </c>
      <c r="B76" s="1">
        <v>2015.0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125.0</v>
      </c>
      <c r="H76" s="1">
        <v>108.5</v>
      </c>
      <c r="I76" s="1">
        <v>126.2</v>
      </c>
      <c r="J76" s="1">
        <v>133.0</v>
      </c>
      <c r="K76" s="1">
        <v>119.1</v>
      </c>
      <c r="L76" s="1">
        <v>99.0</v>
      </c>
      <c r="M76" s="1">
        <v>120.3</v>
      </c>
      <c r="N76" s="1">
        <v>117.3</v>
      </c>
      <c r="O76" s="1">
        <v>126.7</v>
      </c>
      <c r="P76" s="1">
        <v>123.1</v>
      </c>
      <c r="Q76" s="1">
        <v>124.0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114.0</v>
      </c>
      <c r="AD76" s="1">
        <v>119.5</v>
      </c>
    </row>
    <row r="77" ht="14.25" customHeight="1">
      <c r="A77" s="1" t="s">
        <v>30</v>
      </c>
      <c r="B77" s="1">
        <v>2015.0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128.2</v>
      </c>
      <c r="K77" s="1">
        <v>118.8</v>
      </c>
      <c r="L77" s="1">
        <v>100.0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125.0</v>
      </c>
      <c r="U77" s="1">
        <v>118.1</v>
      </c>
      <c r="V77" s="1">
        <v>120.0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115.0</v>
      </c>
      <c r="AD77" s="1">
        <v>120.6</v>
      </c>
    </row>
    <row r="78" ht="14.25" customHeight="1">
      <c r="A78" s="1" t="s">
        <v>33</v>
      </c>
      <c r="B78" s="1">
        <v>2015.0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</v>
      </c>
      <c r="K78" s="1">
        <v>125.1</v>
      </c>
      <c r="L78" s="1">
        <v>95.0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114.0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ht="14.25" customHeight="1">
      <c r="A79" s="1" t="s">
        <v>34</v>
      </c>
      <c r="B79" s="1">
        <v>2015.0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118.0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ht="14.25" customHeight="1">
      <c r="A80" s="1" t="s">
        <v>30</v>
      </c>
      <c r="B80" s="1">
        <v>2015.0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126.0</v>
      </c>
      <c r="H80" s="1">
        <v>111.8</v>
      </c>
      <c r="I80" s="1">
        <v>130.9</v>
      </c>
      <c r="J80" s="1">
        <v>128.0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126.0</v>
      </c>
      <c r="S80" s="1">
        <v>122.9</v>
      </c>
      <c r="T80" s="1">
        <v>125.5</v>
      </c>
      <c r="U80" s="1">
        <v>118.6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ht="14.25" customHeight="1">
      <c r="A81" s="1" t="s">
        <v>33</v>
      </c>
      <c r="B81" s="1">
        <v>2015.0</v>
      </c>
      <c r="C81" s="1" t="s">
        <v>36</v>
      </c>
      <c r="D81" s="1">
        <v>124.0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117.0</v>
      </c>
      <c r="O81" s="1">
        <v>129.2</v>
      </c>
      <c r="P81" s="1">
        <v>123.9</v>
      </c>
      <c r="Q81" s="1">
        <v>128.8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118.0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ht="14.25" customHeight="1">
      <c r="A82" s="1" t="s">
        <v>34</v>
      </c>
      <c r="B82" s="1">
        <v>2015.0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126.0</v>
      </c>
      <c r="H82" s="1">
        <v>109.2</v>
      </c>
      <c r="I82" s="1">
        <v>127.6</v>
      </c>
      <c r="J82" s="1">
        <v>129.2</v>
      </c>
      <c r="K82" s="1">
        <v>122.4</v>
      </c>
      <c r="L82" s="1">
        <v>97.0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111.0</v>
      </c>
      <c r="AC82" s="1">
        <v>114.7</v>
      </c>
      <c r="AD82" s="1">
        <v>120.2</v>
      </c>
    </row>
    <row r="83" ht="14.25" customHeight="1">
      <c r="A83" s="1" t="s">
        <v>30</v>
      </c>
      <c r="B83" s="1">
        <v>2015.0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134.2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128.7</v>
      </c>
      <c r="P83" s="1">
        <v>123.6</v>
      </c>
      <c r="Q83" s="1">
        <v>125.7</v>
      </c>
      <c r="R83" s="1">
        <v>126.4</v>
      </c>
      <c r="S83" s="1">
        <v>123.3</v>
      </c>
      <c r="T83" s="1">
        <v>126.0</v>
      </c>
      <c r="U83" s="1">
        <v>119.2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116.0</v>
      </c>
      <c r="AD83" s="1">
        <v>121.5</v>
      </c>
    </row>
    <row r="84" ht="14.25" customHeight="1">
      <c r="A84" s="1" t="s">
        <v>33</v>
      </c>
      <c r="B84" s="1">
        <v>2015.0</v>
      </c>
      <c r="C84" s="1" t="s">
        <v>37</v>
      </c>
      <c r="D84" s="1">
        <v>123.8</v>
      </c>
      <c r="E84" s="1">
        <v>128.2</v>
      </c>
      <c r="F84" s="1">
        <v>110.0</v>
      </c>
      <c r="G84" s="1">
        <v>126.3</v>
      </c>
      <c r="H84" s="1">
        <v>104.5</v>
      </c>
      <c r="I84" s="1">
        <v>130.6</v>
      </c>
      <c r="J84" s="1">
        <v>130.8</v>
      </c>
      <c r="K84" s="1">
        <v>131.3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ht="14.25" customHeight="1">
      <c r="A85" s="1" t="s">
        <v>34</v>
      </c>
      <c r="B85" s="1">
        <v>2015.0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124.0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121.0</v>
      </c>
      <c r="AB85" s="1">
        <v>111.7</v>
      </c>
      <c r="AC85" s="1">
        <v>115.1</v>
      </c>
      <c r="AD85" s="1">
        <v>120.7</v>
      </c>
    </row>
    <row r="86" ht="14.25" customHeight="1">
      <c r="A86" s="1" t="s">
        <v>30</v>
      </c>
      <c r="B86" s="1">
        <v>2015.0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>
        <v>119.6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ht="14.25" customHeight="1">
      <c r="A87" s="1" t="s">
        <v>33</v>
      </c>
      <c r="B87" s="1">
        <v>2015.0</v>
      </c>
      <c r="C87" s="1" t="s">
        <v>38</v>
      </c>
      <c r="D87" s="1">
        <v>123.8</v>
      </c>
      <c r="E87" s="1">
        <v>129.7</v>
      </c>
      <c r="F87" s="1">
        <v>111.3</v>
      </c>
      <c r="G87" s="1">
        <v>126.6</v>
      </c>
      <c r="H87" s="1">
        <v>105.2</v>
      </c>
      <c r="I87" s="1">
        <v>130.8</v>
      </c>
      <c r="J87" s="1">
        <v>135.6</v>
      </c>
      <c r="K87" s="1">
        <v>142.6</v>
      </c>
      <c r="L87" s="1">
        <v>90.8</v>
      </c>
      <c r="M87" s="1">
        <v>128.8</v>
      </c>
      <c r="N87" s="1">
        <v>117.7</v>
      </c>
      <c r="O87" s="1">
        <v>129.9</v>
      </c>
      <c r="P87" s="1">
        <v>126.1</v>
      </c>
      <c r="Q87" s="1">
        <v>131.3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116.0</v>
      </c>
      <c r="AA87" s="1">
        <v>122.0</v>
      </c>
      <c r="AB87" s="1">
        <v>112.4</v>
      </c>
      <c r="AC87" s="1">
        <v>115.2</v>
      </c>
      <c r="AD87" s="1">
        <v>120.7</v>
      </c>
    </row>
    <row r="88" ht="14.25" customHeight="1">
      <c r="A88" s="1" t="s">
        <v>34</v>
      </c>
      <c r="B88" s="1">
        <v>2015.0</v>
      </c>
      <c r="C88" s="1" t="s">
        <v>38</v>
      </c>
      <c r="D88" s="1">
        <v>123.6</v>
      </c>
      <c r="E88" s="1">
        <v>128.0</v>
      </c>
      <c r="F88" s="1">
        <v>115.0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</v>
      </c>
      <c r="P88" s="1">
        <v>125.0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112.0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ht="14.25" customHeight="1">
      <c r="A89" s="1" t="s">
        <v>30</v>
      </c>
      <c r="B89" s="1">
        <v>2015.0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128.7</v>
      </c>
      <c r="H89" s="1">
        <v>114.1</v>
      </c>
      <c r="I89" s="1">
        <v>133.2</v>
      </c>
      <c r="J89" s="1">
        <v>135.2</v>
      </c>
      <c r="K89" s="1">
        <v>131.9</v>
      </c>
      <c r="L89" s="1">
        <v>96.3</v>
      </c>
      <c r="M89" s="1">
        <v>123.0</v>
      </c>
      <c r="N89" s="1">
        <v>121.1</v>
      </c>
      <c r="O89" s="1">
        <v>131.2</v>
      </c>
      <c r="P89" s="1">
        <v>126.6</v>
      </c>
      <c r="Q89" s="1">
        <v>128.2</v>
      </c>
      <c r="R89" s="1">
        <v>128.4</v>
      </c>
      <c r="S89" s="1">
        <v>125.1</v>
      </c>
      <c r="T89" s="1">
        <v>128.0</v>
      </c>
      <c r="U89" s="1">
        <v>119.0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122.0</v>
      </c>
      <c r="AB89" s="1">
        <v>113.0</v>
      </c>
      <c r="AC89" s="1">
        <v>117.9</v>
      </c>
      <c r="AD89" s="1">
        <v>124.1</v>
      </c>
    </row>
    <row r="90" ht="14.25" customHeight="1">
      <c r="A90" s="1" t="s">
        <v>33</v>
      </c>
      <c r="B90" s="1">
        <v>2015.0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106.0</v>
      </c>
      <c r="I90" s="1">
        <v>132.3</v>
      </c>
      <c r="J90" s="1">
        <v>146.7</v>
      </c>
      <c r="K90" s="1">
        <v>148.1</v>
      </c>
      <c r="L90" s="1">
        <v>89.8</v>
      </c>
      <c r="M90" s="1">
        <v>130.5</v>
      </c>
      <c r="N90" s="1">
        <v>118.0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119.0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116.0</v>
      </c>
      <c r="AD90" s="1">
        <v>121.7</v>
      </c>
    </row>
    <row r="91" ht="14.25" customHeight="1">
      <c r="A91" s="1" t="s">
        <v>34</v>
      </c>
      <c r="B91" s="1">
        <v>2015.0</v>
      </c>
      <c r="C91" s="1" t="s">
        <v>39</v>
      </c>
      <c r="D91" s="1">
        <v>123.9</v>
      </c>
      <c r="E91" s="1">
        <v>131.8</v>
      </c>
      <c r="F91" s="1">
        <v>121.6</v>
      </c>
      <c r="G91" s="1">
        <v>128.2</v>
      </c>
      <c r="H91" s="1">
        <v>111.1</v>
      </c>
      <c r="I91" s="1">
        <v>132.8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129.2</v>
      </c>
      <c r="R91" s="1">
        <v>126.4</v>
      </c>
      <c r="S91" s="1">
        <v>122.0</v>
      </c>
      <c r="T91" s="1">
        <v>125.7</v>
      </c>
      <c r="U91" s="1">
        <v>119.0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117.0</v>
      </c>
      <c r="AD91" s="1">
        <v>123.0</v>
      </c>
    </row>
    <row r="92" ht="14.25" customHeight="1">
      <c r="A92" s="1" t="s">
        <v>30</v>
      </c>
      <c r="B92" s="1">
        <v>2015.0</v>
      </c>
      <c r="C92" s="1" t="s">
        <v>40</v>
      </c>
      <c r="D92" s="1">
        <v>124.0</v>
      </c>
      <c r="E92" s="1">
        <v>131.5</v>
      </c>
      <c r="F92" s="1">
        <v>122.0</v>
      </c>
      <c r="G92" s="1">
        <v>128.7</v>
      </c>
      <c r="H92" s="1">
        <v>113.5</v>
      </c>
      <c r="I92" s="1">
        <v>133.3</v>
      </c>
      <c r="J92" s="1">
        <v>140.8</v>
      </c>
      <c r="K92" s="1">
        <v>133.8</v>
      </c>
      <c r="L92" s="1">
        <v>94.1</v>
      </c>
      <c r="M92" s="1">
        <v>123.4</v>
      </c>
      <c r="N92" s="1">
        <v>121.0</v>
      </c>
      <c r="O92" s="1">
        <v>131.7</v>
      </c>
      <c r="P92" s="1">
        <v>127.5</v>
      </c>
      <c r="Q92" s="1">
        <v>129.4</v>
      </c>
      <c r="R92" s="1">
        <v>128.8</v>
      </c>
      <c r="S92" s="1">
        <v>125.5</v>
      </c>
      <c r="T92" s="1">
        <v>128.3</v>
      </c>
      <c r="U92" s="1">
        <v>119.9</v>
      </c>
      <c r="V92" s="1">
        <v>123.0</v>
      </c>
      <c r="W92" s="1">
        <v>123.0</v>
      </c>
      <c r="X92" s="1">
        <v>120.8</v>
      </c>
      <c r="Y92" s="1">
        <v>114.1</v>
      </c>
      <c r="Z92" s="1">
        <v>118.0</v>
      </c>
      <c r="AA92" s="1">
        <v>122.9</v>
      </c>
      <c r="AB92" s="1">
        <v>112.7</v>
      </c>
      <c r="AC92" s="1">
        <v>118.1</v>
      </c>
      <c r="AD92" s="1">
        <v>124.7</v>
      </c>
    </row>
    <row r="93" ht="14.25" customHeight="1">
      <c r="A93" s="1" t="s">
        <v>33</v>
      </c>
      <c r="B93" s="1">
        <v>2015.0</v>
      </c>
      <c r="C93" s="1" t="s">
        <v>40</v>
      </c>
      <c r="D93" s="1">
        <v>123.2</v>
      </c>
      <c r="E93" s="1">
        <v>134.3</v>
      </c>
      <c r="F93" s="1">
        <v>119.5</v>
      </c>
      <c r="G93" s="1">
        <v>127.7</v>
      </c>
      <c r="H93" s="1">
        <v>106.3</v>
      </c>
      <c r="I93" s="1">
        <v>132.8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116.0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ht="14.25" customHeight="1">
      <c r="A94" s="1" t="s">
        <v>34</v>
      </c>
      <c r="B94" s="1">
        <v>2015.0</v>
      </c>
      <c r="C94" s="1" t="s">
        <v>40</v>
      </c>
      <c r="D94" s="1">
        <v>123.7</v>
      </c>
      <c r="E94" s="1">
        <v>132.5</v>
      </c>
      <c r="F94" s="1">
        <v>121.0</v>
      </c>
      <c r="G94" s="1">
        <v>128.3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128.2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119.0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ht="14.25" customHeight="1">
      <c r="A95" s="1" t="s">
        <v>30</v>
      </c>
      <c r="B95" s="1">
        <v>2015.0</v>
      </c>
      <c r="C95" s="1" t="s">
        <v>41</v>
      </c>
      <c r="D95" s="1">
        <v>124.7</v>
      </c>
      <c r="E95" s="1">
        <v>131.3</v>
      </c>
      <c r="F95" s="1">
        <v>121.3</v>
      </c>
      <c r="G95" s="1">
        <v>128.8</v>
      </c>
      <c r="H95" s="1">
        <v>114.0</v>
      </c>
      <c r="I95" s="1">
        <v>134.2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</v>
      </c>
      <c r="Q95" s="1">
        <v>130.1</v>
      </c>
      <c r="R95" s="1">
        <v>129.5</v>
      </c>
      <c r="S95" s="1">
        <v>126.3</v>
      </c>
      <c r="T95" s="1">
        <v>129.0</v>
      </c>
      <c r="U95" s="1">
        <v>120.9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ht="14.25" customHeight="1">
      <c r="A96" s="1" t="s">
        <v>33</v>
      </c>
      <c r="B96" s="1">
        <v>2015.0</v>
      </c>
      <c r="C96" s="1" t="s">
        <v>41</v>
      </c>
      <c r="D96" s="1">
        <v>123.1</v>
      </c>
      <c r="E96" s="1">
        <v>131.7</v>
      </c>
      <c r="F96" s="1">
        <v>118.1</v>
      </c>
      <c r="G96" s="1">
        <v>128.0</v>
      </c>
      <c r="H96" s="1">
        <v>106.8</v>
      </c>
      <c r="I96" s="1">
        <v>130.1</v>
      </c>
      <c r="J96" s="1">
        <v>165.5</v>
      </c>
      <c r="K96" s="1">
        <v>156.0</v>
      </c>
      <c r="L96" s="1">
        <v>85.3</v>
      </c>
      <c r="M96" s="1">
        <v>132.7</v>
      </c>
      <c r="N96" s="1">
        <v>118.8</v>
      </c>
      <c r="O96" s="1">
        <v>131.7</v>
      </c>
      <c r="P96" s="1">
        <v>131.1</v>
      </c>
      <c r="Q96" s="1">
        <v>134.2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120.0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112.0</v>
      </c>
      <c r="AC96" s="1">
        <v>116.2</v>
      </c>
      <c r="AD96" s="1">
        <v>123.2</v>
      </c>
    </row>
    <row r="97" ht="14.25" customHeight="1">
      <c r="A97" s="1" t="s">
        <v>34</v>
      </c>
      <c r="B97" s="1">
        <v>2015.0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</v>
      </c>
      <c r="J97" s="1">
        <v>157.6</v>
      </c>
      <c r="K97" s="1">
        <v>144.0</v>
      </c>
      <c r="L97" s="1">
        <v>90.5</v>
      </c>
      <c r="M97" s="1">
        <v>126.8</v>
      </c>
      <c r="N97" s="1">
        <v>120.4</v>
      </c>
      <c r="O97" s="1">
        <v>132.1</v>
      </c>
      <c r="P97" s="1">
        <v>130.3</v>
      </c>
      <c r="Q97" s="1">
        <v>131.2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122.0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ht="14.25" customHeight="1">
      <c r="A98" s="1" t="s">
        <v>30</v>
      </c>
      <c r="B98" s="1">
        <v>2015.0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129.2</v>
      </c>
      <c r="H98" s="1">
        <v>114.7</v>
      </c>
      <c r="I98" s="1">
        <v>132.3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132.7</v>
      </c>
      <c r="P98" s="1">
        <v>131.0</v>
      </c>
      <c r="Q98" s="1">
        <v>131.0</v>
      </c>
      <c r="R98" s="1">
        <v>130.4</v>
      </c>
      <c r="S98" s="1">
        <v>126.8</v>
      </c>
      <c r="T98" s="1">
        <v>129.9</v>
      </c>
      <c r="U98" s="1">
        <v>121.6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127.0</v>
      </c>
    </row>
    <row r="99" ht="14.25" customHeight="1">
      <c r="A99" s="1" t="s">
        <v>33</v>
      </c>
      <c r="B99" s="1">
        <v>2015.0</v>
      </c>
      <c r="C99" s="1" t="s">
        <v>42</v>
      </c>
      <c r="D99" s="1">
        <v>123.4</v>
      </c>
      <c r="E99" s="1">
        <v>129.0</v>
      </c>
      <c r="F99" s="1">
        <v>115.6</v>
      </c>
      <c r="G99" s="1">
        <v>128.3</v>
      </c>
      <c r="H99" s="1">
        <v>107.0</v>
      </c>
      <c r="I99" s="1">
        <v>124.0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</v>
      </c>
      <c r="P99" s="1">
        <v>131.5</v>
      </c>
      <c r="Q99" s="1">
        <v>134.7</v>
      </c>
      <c r="R99" s="1">
        <v>124.0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ht="14.25" customHeight="1">
      <c r="A100" s="1" t="s">
        <v>34</v>
      </c>
      <c r="B100" s="1">
        <v>2015.0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162.2</v>
      </c>
      <c r="K100" s="1">
        <v>150.0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131.2</v>
      </c>
      <c r="Q100" s="1">
        <v>132.0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ht="14.25" customHeight="1">
      <c r="A101" s="1" t="s">
        <v>30</v>
      </c>
      <c r="B101" s="1">
        <v>2015.0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133.2</v>
      </c>
      <c r="J101" s="1">
        <v>157.7</v>
      </c>
      <c r="K101" s="1">
        <v>154.2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</v>
      </c>
      <c r="Q101" s="1">
        <v>131.5</v>
      </c>
      <c r="R101" s="1">
        <v>131.1</v>
      </c>
      <c r="S101" s="1">
        <v>127.3</v>
      </c>
      <c r="T101" s="1">
        <v>130.6</v>
      </c>
      <c r="U101" s="1">
        <v>122.4</v>
      </c>
      <c r="V101" s="1">
        <v>124.4</v>
      </c>
      <c r="W101" s="1">
        <v>125.1</v>
      </c>
      <c r="X101" s="1">
        <v>122.0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ht="14.25" customHeight="1">
      <c r="A102" s="1" t="s">
        <v>33</v>
      </c>
      <c r="B102" s="1">
        <v>2015.0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109.0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</v>
      </c>
      <c r="N102" s="1">
        <v>119.4</v>
      </c>
      <c r="O102" s="1">
        <v>132.9</v>
      </c>
      <c r="P102" s="1">
        <v>132.6</v>
      </c>
      <c r="Q102" s="1">
        <v>135.3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ht="14.25" customHeight="1">
      <c r="A103" s="1" t="s">
        <v>34</v>
      </c>
      <c r="B103" s="1">
        <v>2015.0</v>
      </c>
      <c r="C103" s="1" t="s">
        <v>43</v>
      </c>
      <c r="D103" s="1">
        <v>125.0</v>
      </c>
      <c r="E103" s="1">
        <v>129.8</v>
      </c>
      <c r="F103" s="1">
        <v>118.9</v>
      </c>
      <c r="G103" s="1">
        <v>129.1</v>
      </c>
      <c r="H103" s="1">
        <v>113.3</v>
      </c>
      <c r="I103" s="1">
        <v>129.0</v>
      </c>
      <c r="J103" s="1">
        <v>160.4</v>
      </c>
      <c r="K103" s="1">
        <v>165.3</v>
      </c>
      <c r="L103" s="1">
        <v>92.3</v>
      </c>
      <c r="M103" s="1">
        <v>129.7</v>
      </c>
      <c r="N103" s="1">
        <v>121.1</v>
      </c>
      <c r="O103" s="1">
        <v>133.0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123.0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ht="14.25" customHeight="1">
      <c r="A104" s="1" t="s">
        <v>30</v>
      </c>
      <c r="B104" s="1">
        <v>2015.0</v>
      </c>
      <c r="C104" s="1" t="s">
        <v>45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155.2</v>
      </c>
      <c r="K104" s="1">
        <v>160.8</v>
      </c>
      <c r="L104" s="1">
        <v>94.5</v>
      </c>
      <c r="M104" s="1">
        <v>128.3</v>
      </c>
      <c r="N104" s="1">
        <v>123.1</v>
      </c>
      <c r="O104" s="1">
        <v>134.2</v>
      </c>
      <c r="P104" s="1">
        <v>132.4</v>
      </c>
      <c r="Q104" s="1">
        <v>132.2</v>
      </c>
      <c r="R104" s="1">
        <v>132.1</v>
      </c>
      <c r="S104" s="1">
        <v>128.2</v>
      </c>
      <c r="T104" s="1">
        <v>131.5</v>
      </c>
      <c r="U104" s="1">
        <v>122.9</v>
      </c>
      <c r="V104" s="1">
        <v>125.6</v>
      </c>
      <c r="W104" s="1">
        <v>125.6</v>
      </c>
      <c r="X104" s="1">
        <v>122.6</v>
      </c>
      <c r="Y104" s="1">
        <v>114.0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</v>
      </c>
    </row>
    <row r="105" ht="14.25" customHeight="1">
      <c r="A105" s="1" t="s">
        <v>33</v>
      </c>
      <c r="B105" s="1">
        <v>2015.0</v>
      </c>
      <c r="C105" s="1" t="s">
        <v>45</v>
      </c>
      <c r="D105" s="1">
        <v>124.0</v>
      </c>
      <c r="E105" s="1">
        <v>129.8</v>
      </c>
      <c r="F105" s="1">
        <v>121.5</v>
      </c>
      <c r="G105" s="1">
        <v>128.6</v>
      </c>
      <c r="H105" s="1">
        <v>110.0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133.7</v>
      </c>
      <c r="P105" s="1">
        <v>133.3</v>
      </c>
      <c r="Q105" s="1">
        <v>137.6</v>
      </c>
      <c r="R105" s="1">
        <v>125.0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121.0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ht="14.25" customHeight="1">
      <c r="A106" s="1" t="s">
        <v>34</v>
      </c>
      <c r="B106" s="1">
        <v>2015.0</v>
      </c>
      <c r="C106" s="1" t="s">
        <v>45</v>
      </c>
      <c r="D106" s="1">
        <v>125.4</v>
      </c>
      <c r="E106" s="1">
        <v>130.3</v>
      </c>
      <c r="F106" s="1">
        <v>121.6</v>
      </c>
      <c r="G106" s="1">
        <v>129.2</v>
      </c>
      <c r="H106" s="1">
        <v>114.9</v>
      </c>
      <c r="I106" s="1">
        <v>128.2</v>
      </c>
      <c r="J106" s="1">
        <v>158.4</v>
      </c>
      <c r="K106" s="1">
        <v>171.2</v>
      </c>
      <c r="L106" s="1">
        <v>93.3</v>
      </c>
      <c r="M106" s="1">
        <v>131.2</v>
      </c>
      <c r="N106" s="1">
        <v>121.7</v>
      </c>
      <c r="O106" s="1">
        <v>134.0</v>
      </c>
      <c r="P106" s="1">
        <v>132.7</v>
      </c>
      <c r="Q106" s="1">
        <v>133.6</v>
      </c>
      <c r="R106" s="1">
        <v>129.3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ht="14.25" customHeight="1">
      <c r="A107" s="1" t="s">
        <v>30</v>
      </c>
      <c r="B107" s="1">
        <v>2015.0</v>
      </c>
      <c r="C107" s="1" t="s">
        <v>46</v>
      </c>
      <c r="D107" s="1">
        <v>126.3</v>
      </c>
      <c r="E107" s="1">
        <v>131.3</v>
      </c>
      <c r="F107" s="1">
        <v>123.3</v>
      </c>
      <c r="G107" s="1">
        <v>129.8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>
        <v>122.4</v>
      </c>
      <c r="V107" s="1">
        <v>125.7</v>
      </c>
      <c r="W107" s="1">
        <v>126.0</v>
      </c>
      <c r="X107" s="1">
        <v>123.1</v>
      </c>
      <c r="Y107" s="1">
        <v>114.0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ht="14.25" customHeight="1">
      <c r="A108" s="1" t="s">
        <v>33</v>
      </c>
      <c r="B108" s="1">
        <v>2015.0</v>
      </c>
      <c r="C108" s="1" t="s">
        <v>46</v>
      </c>
      <c r="D108" s="1">
        <v>124.3</v>
      </c>
      <c r="E108" s="1">
        <v>131.7</v>
      </c>
      <c r="F108" s="1">
        <v>127.1</v>
      </c>
      <c r="G108" s="1">
        <v>128.6</v>
      </c>
      <c r="H108" s="1">
        <v>110.0</v>
      </c>
      <c r="I108" s="1">
        <v>120.8</v>
      </c>
      <c r="J108" s="1">
        <v>149.0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134.2</v>
      </c>
      <c r="P108" s="1">
        <v>131.5</v>
      </c>
      <c r="Q108" s="1">
        <v>138.2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116.0</v>
      </c>
      <c r="W108" s="1">
        <v>121.0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124.0</v>
      </c>
    </row>
    <row r="109" ht="14.25" customHeight="1">
      <c r="A109" s="1" t="s">
        <v>34</v>
      </c>
      <c r="B109" s="1">
        <v>2015.0</v>
      </c>
      <c r="C109" s="1" t="s">
        <v>46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146.7</v>
      </c>
      <c r="K109" s="1">
        <v>171.5</v>
      </c>
      <c r="L109" s="1">
        <v>94.5</v>
      </c>
      <c r="M109" s="1">
        <v>132.1</v>
      </c>
      <c r="N109" s="1">
        <v>122.0</v>
      </c>
      <c r="O109" s="1">
        <v>134.7</v>
      </c>
      <c r="P109" s="1">
        <v>131.4</v>
      </c>
      <c r="Q109" s="1">
        <v>134.5</v>
      </c>
      <c r="R109" s="1">
        <v>129.7</v>
      </c>
      <c r="S109" s="1">
        <v>124.8</v>
      </c>
      <c r="T109" s="1">
        <v>129.0</v>
      </c>
      <c r="U109" s="1">
        <v>122.4</v>
      </c>
      <c r="V109" s="1">
        <v>122.0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ht="14.25" customHeight="1">
      <c r="A110" s="1" t="s">
        <v>30</v>
      </c>
      <c r="B110" s="1">
        <v>2016.0</v>
      </c>
      <c r="C110" s="1" t="s">
        <v>31</v>
      </c>
      <c r="D110" s="1">
        <v>126.8</v>
      </c>
      <c r="E110" s="1">
        <v>133.2</v>
      </c>
      <c r="F110" s="1">
        <v>126.5</v>
      </c>
      <c r="G110" s="1">
        <v>130.3</v>
      </c>
      <c r="H110" s="1">
        <v>118.9</v>
      </c>
      <c r="I110" s="1">
        <v>131.6</v>
      </c>
      <c r="J110" s="1">
        <v>140.1</v>
      </c>
      <c r="K110" s="1">
        <v>163.8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133.2</v>
      </c>
      <c r="S110" s="1">
        <v>128.9</v>
      </c>
      <c r="T110" s="1">
        <v>132.6</v>
      </c>
      <c r="U110" s="1">
        <v>123.4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ht="14.25" customHeight="1">
      <c r="A111" s="1" t="s">
        <v>33</v>
      </c>
      <c r="B111" s="1">
        <v>2016.0</v>
      </c>
      <c r="C111" s="1" t="s">
        <v>31</v>
      </c>
      <c r="D111" s="1">
        <v>124.7</v>
      </c>
      <c r="E111" s="1">
        <v>135.9</v>
      </c>
      <c r="F111" s="1">
        <v>132.0</v>
      </c>
      <c r="G111" s="1">
        <v>129.2</v>
      </c>
      <c r="H111" s="1">
        <v>109.7</v>
      </c>
      <c r="I111" s="1">
        <v>119.0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134.7</v>
      </c>
      <c r="P111" s="1">
        <v>131.2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114.0</v>
      </c>
      <c r="AC111" s="1">
        <v>116.8</v>
      </c>
      <c r="AD111" s="1">
        <v>124.2</v>
      </c>
    </row>
    <row r="112" ht="14.25" customHeight="1">
      <c r="A112" s="1" t="s">
        <v>34</v>
      </c>
      <c r="B112" s="1">
        <v>2016.0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</v>
      </c>
      <c r="P112" s="1">
        <v>131.3</v>
      </c>
      <c r="Q112" s="1">
        <v>135.2</v>
      </c>
      <c r="R112" s="1">
        <v>130.3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122.0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ht="14.25" customHeight="1">
      <c r="A113" s="1" t="s">
        <v>30</v>
      </c>
      <c r="B113" s="1">
        <v>2016.0</v>
      </c>
      <c r="C113" s="1" t="s">
        <v>35</v>
      </c>
      <c r="D113" s="1">
        <v>127.1</v>
      </c>
      <c r="E113" s="1">
        <v>133.7</v>
      </c>
      <c r="F113" s="1">
        <v>127.7</v>
      </c>
      <c r="G113" s="1">
        <v>130.7</v>
      </c>
      <c r="H113" s="1">
        <v>118.5</v>
      </c>
      <c r="I113" s="1">
        <v>130.4</v>
      </c>
      <c r="J113" s="1">
        <v>130.9</v>
      </c>
      <c r="K113" s="1">
        <v>162.8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</v>
      </c>
      <c r="Q113" s="1">
        <v>134.4</v>
      </c>
      <c r="R113" s="1">
        <v>133.9</v>
      </c>
      <c r="S113" s="1">
        <v>129.8</v>
      </c>
      <c r="T113" s="1">
        <v>133.4</v>
      </c>
      <c r="U113" s="1">
        <v>124.4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ht="14.25" customHeight="1">
      <c r="A114" s="1" t="s">
        <v>33</v>
      </c>
      <c r="B114" s="1">
        <v>2016.0</v>
      </c>
      <c r="C114" s="1" t="s">
        <v>35</v>
      </c>
      <c r="D114" s="1">
        <v>124.8</v>
      </c>
      <c r="E114" s="1">
        <v>135.1</v>
      </c>
      <c r="F114" s="1">
        <v>130.3</v>
      </c>
      <c r="G114" s="1">
        <v>129.6</v>
      </c>
      <c r="H114" s="1">
        <v>108.4</v>
      </c>
      <c r="I114" s="1">
        <v>118.6</v>
      </c>
      <c r="J114" s="1">
        <v>129.2</v>
      </c>
      <c r="K114" s="1">
        <v>176.4</v>
      </c>
      <c r="L114" s="1">
        <v>99.1</v>
      </c>
      <c r="M114" s="1">
        <v>139.7</v>
      </c>
      <c r="N114" s="1">
        <v>120.6</v>
      </c>
      <c r="O114" s="1">
        <v>135.2</v>
      </c>
      <c r="P114" s="1">
        <v>129.1</v>
      </c>
      <c r="Q114" s="1">
        <v>140.0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116.0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ht="14.25" customHeight="1">
      <c r="A115" s="1" t="s">
        <v>34</v>
      </c>
      <c r="B115" s="1">
        <v>2016.0</v>
      </c>
      <c r="C115" s="1" t="s">
        <v>35</v>
      </c>
      <c r="D115" s="1">
        <v>126.4</v>
      </c>
      <c r="E115" s="1">
        <v>134.2</v>
      </c>
      <c r="F115" s="1">
        <v>128.7</v>
      </c>
      <c r="G115" s="1">
        <v>130.3</v>
      </c>
      <c r="H115" s="1">
        <v>114.8</v>
      </c>
      <c r="I115" s="1">
        <v>124.9</v>
      </c>
      <c r="J115" s="1">
        <v>130.3</v>
      </c>
      <c r="K115" s="1">
        <v>167.4</v>
      </c>
      <c r="L115" s="1">
        <v>98.8</v>
      </c>
      <c r="M115" s="1">
        <v>133.6</v>
      </c>
      <c r="N115" s="1">
        <v>123.0</v>
      </c>
      <c r="O115" s="1">
        <v>135.8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130.2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126.0</v>
      </c>
    </row>
    <row r="116" ht="14.25" customHeight="1">
      <c r="A116" s="1" t="s">
        <v>30</v>
      </c>
      <c r="B116" s="1">
        <v>2016.0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131.7</v>
      </c>
      <c r="J116" s="1">
        <v>130.7</v>
      </c>
      <c r="K116" s="1">
        <v>161.2</v>
      </c>
      <c r="L116" s="1">
        <v>100.4</v>
      </c>
      <c r="M116" s="1">
        <v>130.8</v>
      </c>
      <c r="N116" s="1">
        <v>124.9</v>
      </c>
      <c r="O116" s="1">
        <v>137.0</v>
      </c>
      <c r="P116" s="1">
        <v>130.4</v>
      </c>
      <c r="Q116" s="1">
        <v>135.0</v>
      </c>
      <c r="R116" s="1">
        <v>134.4</v>
      </c>
      <c r="S116" s="1">
        <v>130.2</v>
      </c>
      <c r="T116" s="1">
        <v>133.8</v>
      </c>
      <c r="U116" s="1">
        <v>124.9</v>
      </c>
      <c r="V116" s="1">
        <v>127.0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128.0</v>
      </c>
    </row>
    <row r="117" ht="14.25" customHeight="1">
      <c r="A117" s="1" t="s">
        <v>33</v>
      </c>
      <c r="B117" s="1">
        <v>2016.0</v>
      </c>
      <c r="C117" s="1" t="s">
        <v>36</v>
      </c>
      <c r="D117" s="1">
        <v>124.8</v>
      </c>
      <c r="E117" s="1">
        <v>136.3</v>
      </c>
      <c r="F117" s="1">
        <v>123.7</v>
      </c>
      <c r="G117" s="1">
        <v>129.7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ht="14.25" customHeight="1">
      <c r="A118" s="1" t="s">
        <v>34</v>
      </c>
      <c r="B118" s="1">
        <v>2016.0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130.2</v>
      </c>
      <c r="H118" s="1">
        <v>114.5</v>
      </c>
      <c r="I118" s="1">
        <v>126.2</v>
      </c>
      <c r="J118" s="1">
        <v>129.8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</v>
      </c>
      <c r="P118" s="1">
        <v>129.8</v>
      </c>
      <c r="Q118" s="1">
        <v>136.5</v>
      </c>
      <c r="R118" s="1">
        <v>131.3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126.0</v>
      </c>
    </row>
    <row r="119" ht="14.25" customHeight="1">
      <c r="A119" s="1" t="s">
        <v>30</v>
      </c>
      <c r="B119" s="1">
        <v>2016.0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</v>
      </c>
      <c r="H119" s="1">
        <v>118.2</v>
      </c>
      <c r="I119" s="1">
        <v>138.1</v>
      </c>
      <c r="J119" s="1">
        <v>134.1</v>
      </c>
      <c r="K119" s="1">
        <v>162.7</v>
      </c>
      <c r="L119" s="1">
        <v>105.0</v>
      </c>
      <c r="M119" s="1">
        <v>131.4</v>
      </c>
      <c r="N119" s="1">
        <v>125.4</v>
      </c>
      <c r="O119" s="1">
        <v>137.4</v>
      </c>
      <c r="P119" s="1">
        <v>131.8</v>
      </c>
      <c r="Q119" s="1">
        <v>135.5</v>
      </c>
      <c r="R119" s="1">
        <v>135.0</v>
      </c>
      <c r="S119" s="1">
        <v>130.6</v>
      </c>
      <c r="T119" s="1">
        <v>134.4</v>
      </c>
      <c r="U119" s="1">
        <v>125.6</v>
      </c>
      <c r="V119" s="1">
        <v>127.0</v>
      </c>
      <c r="W119" s="1">
        <v>128.0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129.0</v>
      </c>
    </row>
    <row r="120" ht="14.25" customHeight="1">
      <c r="A120" s="1" t="s">
        <v>33</v>
      </c>
      <c r="B120" s="1">
        <v>2016.0</v>
      </c>
      <c r="C120" s="1" t="s">
        <v>37</v>
      </c>
      <c r="D120" s="1">
        <v>124.9</v>
      </c>
      <c r="E120" s="1">
        <v>139.3</v>
      </c>
      <c r="F120" s="1">
        <v>119.9</v>
      </c>
      <c r="G120" s="1">
        <v>130.2</v>
      </c>
      <c r="H120" s="1">
        <v>108.9</v>
      </c>
      <c r="I120" s="1">
        <v>131.1</v>
      </c>
      <c r="J120" s="1">
        <v>136.8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120.0</v>
      </c>
      <c r="Y120" s="1">
        <v>110.0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ht="14.25" customHeight="1">
      <c r="A121" s="1" t="s">
        <v>34</v>
      </c>
      <c r="B121" s="1">
        <v>2016.0</v>
      </c>
      <c r="C121" s="1" t="s">
        <v>37</v>
      </c>
      <c r="D121" s="1">
        <v>126.6</v>
      </c>
      <c r="E121" s="1">
        <v>136.8</v>
      </c>
      <c r="F121" s="1">
        <v>122.0</v>
      </c>
      <c r="G121" s="1">
        <v>130.9</v>
      </c>
      <c r="H121" s="1">
        <v>114.8</v>
      </c>
      <c r="I121" s="1">
        <v>134.8</v>
      </c>
      <c r="J121" s="1">
        <v>135.0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136.7</v>
      </c>
      <c r="P121" s="1">
        <v>131.8</v>
      </c>
      <c r="Q121" s="1">
        <v>137.1</v>
      </c>
      <c r="R121" s="1">
        <v>131.8</v>
      </c>
      <c r="S121" s="1">
        <v>126.4</v>
      </c>
      <c r="T121" s="1">
        <v>131.0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120.0</v>
      </c>
      <c r="AD121" s="1">
        <v>127.3</v>
      </c>
    </row>
    <row r="122" ht="14.25" customHeight="1">
      <c r="A122" s="1" t="s">
        <v>30</v>
      </c>
      <c r="B122" s="1">
        <v>2016.0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</v>
      </c>
      <c r="K122" s="1">
        <v>166.0</v>
      </c>
      <c r="L122" s="1">
        <v>107.5</v>
      </c>
      <c r="M122" s="1">
        <v>132.2</v>
      </c>
      <c r="N122" s="1">
        <v>126.1</v>
      </c>
      <c r="O122" s="1">
        <v>138.3</v>
      </c>
      <c r="P122" s="1">
        <v>133.6</v>
      </c>
      <c r="Q122" s="1">
        <v>136.0</v>
      </c>
      <c r="R122" s="1">
        <v>135.4</v>
      </c>
      <c r="S122" s="1">
        <v>131.1</v>
      </c>
      <c r="T122" s="1">
        <v>134.8</v>
      </c>
      <c r="U122" s="1">
        <v>126.0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</v>
      </c>
    </row>
    <row r="123" ht="14.25" customHeight="1">
      <c r="A123" s="1" t="s">
        <v>33</v>
      </c>
      <c r="B123" s="1">
        <v>2016.0</v>
      </c>
      <c r="C123" s="1" t="s">
        <v>38</v>
      </c>
      <c r="D123" s="1">
        <v>125.0</v>
      </c>
      <c r="E123" s="1">
        <v>142.1</v>
      </c>
      <c r="F123" s="1">
        <v>127.0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</v>
      </c>
      <c r="P123" s="1">
        <v>134.6</v>
      </c>
      <c r="Q123" s="1">
        <v>142.2</v>
      </c>
      <c r="R123" s="1">
        <v>127.2</v>
      </c>
      <c r="S123" s="1">
        <v>120.7</v>
      </c>
      <c r="T123" s="1">
        <v>126.2</v>
      </c>
      <c r="U123" s="1">
        <v>126.0</v>
      </c>
      <c r="V123" s="1">
        <v>115.0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128.0</v>
      </c>
      <c r="AB123" s="1">
        <v>118.5</v>
      </c>
      <c r="AC123" s="1">
        <v>118.7</v>
      </c>
      <c r="AD123" s="1">
        <v>126.6</v>
      </c>
    </row>
    <row r="124" ht="14.25" customHeight="1">
      <c r="A124" s="1" t="s">
        <v>34</v>
      </c>
      <c r="B124" s="1">
        <v>2016.0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131.7</v>
      </c>
      <c r="H124" s="1">
        <v>115.0</v>
      </c>
      <c r="I124" s="1">
        <v>136.0</v>
      </c>
      <c r="J124" s="1">
        <v>145.1</v>
      </c>
      <c r="K124" s="1">
        <v>171.7</v>
      </c>
      <c r="L124" s="1">
        <v>108.7</v>
      </c>
      <c r="M124" s="1">
        <v>135.3</v>
      </c>
      <c r="N124" s="1">
        <v>124.2</v>
      </c>
      <c r="O124" s="1">
        <v>137.4</v>
      </c>
      <c r="P124" s="1">
        <v>134.0</v>
      </c>
      <c r="Q124" s="1">
        <v>137.7</v>
      </c>
      <c r="R124" s="1">
        <v>132.2</v>
      </c>
      <c r="S124" s="1">
        <v>126.8</v>
      </c>
      <c r="T124" s="1">
        <v>131.4</v>
      </c>
      <c r="U124" s="1">
        <v>126.0</v>
      </c>
      <c r="V124" s="1">
        <v>122.7</v>
      </c>
      <c r="W124" s="1">
        <v>126.0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ht="14.25" customHeight="1">
      <c r="A125" s="1" t="s">
        <v>30</v>
      </c>
      <c r="B125" s="1">
        <v>2016.0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139.2</v>
      </c>
      <c r="P125" s="1">
        <v>136.0</v>
      </c>
      <c r="Q125" s="1">
        <v>137.2</v>
      </c>
      <c r="R125" s="1">
        <v>136.3</v>
      </c>
      <c r="S125" s="1">
        <v>131.6</v>
      </c>
      <c r="T125" s="1">
        <v>135.6</v>
      </c>
      <c r="U125" s="1">
        <v>125.5</v>
      </c>
      <c r="V125" s="1">
        <v>128.0</v>
      </c>
      <c r="W125" s="1">
        <v>129.3</v>
      </c>
      <c r="X125" s="1">
        <v>126.2</v>
      </c>
      <c r="Y125" s="1">
        <v>116.3</v>
      </c>
      <c r="Z125" s="1">
        <v>124.1</v>
      </c>
      <c r="AA125" s="1">
        <v>130.2</v>
      </c>
      <c r="AB125" s="1">
        <v>119.9</v>
      </c>
      <c r="AC125" s="1">
        <v>123.3</v>
      </c>
      <c r="AD125" s="1">
        <v>131.9</v>
      </c>
    </row>
    <row r="126" ht="14.25" customHeight="1">
      <c r="A126" s="1" t="s">
        <v>33</v>
      </c>
      <c r="B126" s="1">
        <v>2016.0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131.0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112.0</v>
      </c>
      <c r="M126" s="1">
        <v>142.8</v>
      </c>
      <c r="N126" s="1">
        <v>121.6</v>
      </c>
      <c r="O126" s="1">
        <v>136.9</v>
      </c>
      <c r="P126" s="1">
        <v>138.2</v>
      </c>
      <c r="Q126" s="1">
        <v>142.7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</v>
      </c>
      <c r="AB126" s="1">
        <v>118.8</v>
      </c>
      <c r="AC126" s="1">
        <v>119.6</v>
      </c>
      <c r="AD126" s="1">
        <v>128.1</v>
      </c>
    </row>
    <row r="127" ht="14.25" customHeight="1">
      <c r="A127" s="1" t="s">
        <v>34</v>
      </c>
      <c r="B127" s="1">
        <v>2016.0</v>
      </c>
      <c r="C127" s="1" t="s">
        <v>39</v>
      </c>
      <c r="D127" s="1">
        <v>127.7</v>
      </c>
      <c r="E127" s="1">
        <v>140.5</v>
      </c>
      <c r="F127" s="1">
        <v>128.3</v>
      </c>
      <c r="G127" s="1">
        <v>132.6</v>
      </c>
      <c r="H127" s="1">
        <v>115.5</v>
      </c>
      <c r="I127" s="1">
        <v>136.5</v>
      </c>
      <c r="J127" s="1">
        <v>159.7</v>
      </c>
      <c r="K127" s="1">
        <v>174.3</v>
      </c>
      <c r="L127" s="1">
        <v>109.9</v>
      </c>
      <c r="M127" s="1">
        <v>136.3</v>
      </c>
      <c r="N127" s="1">
        <v>124.4</v>
      </c>
      <c r="O127" s="1">
        <v>138.1</v>
      </c>
      <c r="P127" s="1">
        <v>136.8</v>
      </c>
      <c r="Q127" s="1">
        <v>138.7</v>
      </c>
      <c r="R127" s="1">
        <v>132.9</v>
      </c>
      <c r="S127" s="1">
        <v>127.2</v>
      </c>
      <c r="T127" s="1">
        <v>132.0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129.7</v>
      </c>
      <c r="AB127" s="1">
        <v>119.4</v>
      </c>
      <c r="AC127" s="1">
        <v>121.5</v>
      </c>
      <c r="AD127" s="1">
        <v>130.1</v>
      </c>
    </row>
    <row r="128" ht="14.25" customHeight="1">
      <c r="A128" s="1" t="s">
        <v>30</v>
      </c>
      <c r="B128" s="1">
        <v>2016.0</v>
      </c>
      <c r="C128" s="1" t="s">
        <v>40</v>
      </c>
      <c r="D128" s="1">
        <v>129.3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158.2</v>
      </c>
      <c r="K128" s="1">
        <v>171.8</v>
      </c>
      <c r="L128" s="1">
        <v>110.3</v>
      </c>
      <c r="M128" s="1">
        <v>134.3</v>
      </c>
      <c r="N128" s="1">
        <v>127.3</v>
      </c>
      <c r="O128" s="1">
        <v>139.9</v>
      </c>
      <c r="P128" s="1">
        <v>137.6</v>
      </c>
      <c r="Q128" s="1">
        <v>138.0</v>
      </c>
      <c r="R128" s="1">
        <v>137.2</v>
      </c>
      <c r="S128" s="1">
        <v>132.2</v>
      </c>
      <c r="T128" s="1">
        <v>136.5</v>
      </c>
      <c r="U128" s="1">
        <v>126.4</v>
      </c>
      <c r="V128" s="1">
        <v>128.2</v>
      </c>
      <c r="W128" s="1">
        <v>130.0</v>
      </c>
      <c r="X128" s="1">
        <v>126.7</v>
      </c>
      <c r="Y128" s="1">
        <v>116.4</v>
      </c>
      <c r="Z128" s="1">
        <v>125.2</v>
      </c>
      <c r="AA128" s="1">
        <v>130.8</v>
      </c>
      <c r="AB128" s="1">
        <v>120.9</v>
      </c>
      <c r="AC128" s="1">
        <v>123.8</v>
      </c>
      <c r="AD128" s="1">
        <v>133.0</v>
      </c>
    </row>
    <row r="129" ht="14.25" customHeight="1">
      <c r="A129" s="1" t="s">
        <v>33</v>
      </c>
      <c r="B129" s="1">
        <v>2016.0</v>
      </c>
      <c r="C129" s="1" t="s">
        <v>40</v>
      </c>
      <c r="D129" s="1">
        <v>126.8</v>
      </c>
      <c r="E129" s="1">
        <v>144.2</v>
      </c>
      <c r="F129" s="1">
        <v>136.6</v>
      </c>
      <c r="G129" s="1">
        <v>131.8</v>
      </c>
      <c r="H129" s="1">
        <v>111.0</v>
      </c>
      <c r="I129" s="1">
        <v>137.0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</v>
      </c>
      <c r="AB129" s="1">
        <v>120.0</v>
      </c>
      <c r="AC129" s="1">
        <v>119.9</v>
      </c>
      <c r="AD129" s="1">
        <v>129.0</v>
      </c>
    </row>
    <row r="130" ht="14.25" customHeight="1">
      <c r="A130" s="1" t="s">
        <v>34</v>
      </c>
      <c r="B130" s="1">
        <v>2016.0</v>
      </c>
      <c r="C130" s="1" t="s">
        <v>40</v>
      </c>
      <c r="D130" s="1">
        <v>128.5</v>
      </c>
      <c r="E130" s="1">
        <v>141.2</v>
      </c>
      <c r="F130" s="1">
        <v>132.3</v>
      </c>
      <c r="G130" s="1">
        <v>133.5</v>
      </c>
      <c r="H130" s="1">
        <v>116.4</v>
      </c>
      <c r="I130" s="1">
        <v>137.8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125.0</v>
      </c>
      <c r="O130" s="1">
        <v>138.8</v>
      </c>
      <c r="P130" s="1">
        <v>138.4</v>
      </c>
      <c r="Q130" s="1">
        <v>139.3</v>
      </c>
      <c r="R130" s="1">
        <v>133.5</v>
      </c>
      <c r="S130" s="1">
        <v>127.6</v>
      </c>
      <c r="T130" s="1">
        <v>132.7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</v>
      </c>
      <c r="AB130" s="1">
        <v>120.5</v>
      </c>
      <c r="AC130" s="1">
        <v>121.9</v>
      </c>
      <c r="AD130" s="1">
        <v>131.1</v>
      </c>
    </row>
    <row r="131" ht="14.25" customHeight="1">
      <c r="A131" s="1" t="s">
        <v>30</v>
      </c>
      <c r="B131" s="1">
        <v>2016.0</v>
      </c>
      <c r="C131" s="1" t="s">
        <v>41</v>
      </c>
      <c r="D131" s="1">
        <v>130.1</v>
      </c>
      <c r="E131" s="1">
        <v>138.8</v>
      </c>
      <c r="F131" s="1">
        <v>130.3</v>
      </c>
      <c r="G131" s="1">
        <v>135.3</v>
      </c>
      <c r="H131" s="1">
        <v>119.9</v>
      </c>
      <c r="I131" s="1">
        <v>140.2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140.7</v>
      </c>
      <c r="P131" s="1">
        <v>138.0</v>
      </c>
      <c r="Q131" s="1">
        <v>138.9</v>
      </c>
      <c r="R131" s="1">
        <v>137.8</v>
      </c>
      <c r="S131" s="1">
        <v>133.0</v>
      </c>
      <c r="T131" s="1">
        <v>137.1</v>
      </c>
      <c r="U131" s="1">
        <v>127.3</v>
      </c>
      <c r="V131" s="1">
        <v>129.1</v>
      </c>
      <c r="W131" s="1">
        <v>130.6</v>
      </c>
      <c r="X131" s="1">
        <v>127.0</v>
      </c>
      <c r="Y131" s="1">
        <v>116.0</v>
      </c>
      <c r="Z131" s="1">
        <v>125.5</v>
      </c>
      <c r="AA131" s="1">
        <v>131.9</v>
      </c>
      <c r="AB131" s="1">
        <v>122.0</v>
      </c>
      <c r="AC131" s="1">
        <v>124.2</v>
      </c>
      <c r="AD131" s="1">
        <v>133.5</v>
      </c>
    </row>
    <row r="132" ht="14.25" customHeight="1">
      <c r="A132" s="1" t="s">
        <v>33</v>
      </c>
      <c r="B132" s="1">
        <v>2016.0</v>
      </c>
      <c r="C132" s="1" t="s">
        <v>41</v>
      </c>
      <c r="D132" s="1">
        <v>127.6</v>
      </c>
      <c r="E132" s="1">
        <v>140.3</v>
      </c>
      <c r="F132" s="1">
        <v>133.7</v>
      </c>
      <c r="G132" s="1">
        <v>132.2</v>
      </c>
      <c r="H132" s="1">
        <v>111.8</v>
      </c>
      <c r="I132" s="1">
        <v>135.8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ht="14.25" customHeight="1">
      <c r="A133" s="1" t="s">
        <v>34</v>
      </c>
      <c r="B133" s="1">
        <v>2016.0</v>
      </c>
      <c r="C133" s="1" t="s">
        <v>41</v>
      </c>
      <c r="D133" s="1">
        <v>129.3</v>
      </c>
      <c r="E133" s="1">
        <v>139.3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140.2</v>
      </c>
      <c r="R133" s="1">
        <v>134.1</v>
      </c>
      <c r="S133" s="1">
        <v>128.2</v>
      </c>
      <c r="T133" s="1">
        <v>133.2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131.7</v>
      </c>
      <c r="AB133" s="1">
        <v>121.5</v>
      </c>
      <c r="AC133" s="1">
        <v>122.1</v>
      </c>
      <c r="AD133" s="1">
        <v>131.1</v>
      </c>
    </row>
    <row r="134" ht="14.25" customHeight="1">
      <c r="A134" s="1" t="s">
        <v>30</v>
      </c>
      <c r="B134" s="1">
        <v>2016.0</v>
      </c>
      <c r="C134" s="1" t="s">
        <v>42</v>
      </c>
      <c r="D134" s="1">
        <v>130.8</v>
      </c>
      <c r="E134" s="1">
        <v>138.2</v>
      </c>
      <c r="F134" s="1">
        <v>130.5</v>
      </c>
      <c r="G134" s="1">
        <v>135.5</v>
      </c>
      <c r="H134" s="1">
        <v>120.2</v>
      </c>
      <c r="I134" s="1">
        <v>139.2</v>
      </c>
      <c r="J134" s="1">
        <v>149.5</v>
      </c>
      <c r="K134" s="1">
        <v>170.4</v>
      </c>
      <c r="L134" s="1">
        <v>113.1</v>
      </c>
      <c r="M134" s="1">
        <v>135.8</v>
      </c>
      <c r="N134" s="1">
        <v>128.8</v>
      </c>
      <c r="O134" s="1">
        <v>141.5</v>
      </c>
      <c r="P134" s="1">
        <v>137.2</v>
      </c>
      <c r="Q134" s="1">
        <v>139.9</v>
      </c>
      <c r="R134" s="1">
        <v>138.5</v>
      </c>
      <c r="S134" s="1">
        <v>133.5</v>
      </c>
      <c r="T134" s="1">
        <v>137.8</v>
      </c>
      <c r="U134" s="1">
        <v>127.9</v>
      </c>
      <c r="V134" s="1">
        <v>129.7</v>
      </c>
      <c r="W134" s="1">
        <v>131.1</v>
      </c>
      <c r="X134" s="1">
        <v>127.8</v>
      </c>
      <c r="Y134" s="1">
        <v>117.0</v>
      </c>
      <c r="Z134" s="1">
        <v>125.7</v>
      </c>
      <c r="AA134" s="1">
        <v>132.2</v>
      </c>
      <c r="AB134" s="1">
        <v>122.8</v>
      </c>
      <c r="AC134" s="1">
        <v>124.9</v>
      </c>
      <c r="AD134" s="1">
        <v>133.4</v>
      </c>
    </row>
    <row r="135" ht="14.25" customHeight="1">
      <c r="A135" s="1" t="s">
        <v>33</v>
      </c>
      <c r="B135" s="1">
        <v>2016.0</v>
      </c>
      <c r="C135" s="1" t="s">
        <v>42</v>
      </c>
      <c r="D135" s="1">
        <v>128.1</v>
      </c>
      <c r="E135" s="1">
        <v>137.7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</v>
      </c>
      <c r="N135" s="1">
        <v>122.1</v>
      </c>
      <c r="O135" s="1">
        <v>138.8</v>
      </c>
      <c r="P135" s="1">
        <v>135.7</v>
      </c>
      <c r="Q135" s="1">
        <v>143.9</v>
      </c>
      <c r="R135" s="1">
        <v>128.7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128.0</v>
      </c>
    </row>
    <row r="136" ht="14.25" customHeight="1">
      <c r="A136" s="1" t="s">
        <v>34</v>
      </c>
      <c r="B136" s="1">
        <v>2016.0</v>
      </c>
      <c r="C136" s="1" t="s">
        <v>42</v>
      </c>
      <c r="D136" s="1">
        <v>129.9</v>
      </c>
      <c r="E136" s="1">
        <v>138.0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150.7</v>
      </c>
      <c r="K136" s="1">
        <v>171.5</v>
      </c>
      <c r="L136" s="1">
        <v>113.8</v>
      </c>
      <c r="M136" s="1">
        <v>138.8</v>
      </c>
      <c r="N136" s="1">
        <v>126.0</v>
      </c>
      <c r="O136" s="1">
        <v>140.2</v>
      </c>
      <c r="P136" s="1">
        <v>136.6</v>
      </c>
      <c r="Q136" s="1">
        <v>141.0</v>
      </c>
      <c r="R136" s="1">
        <v>134.6</v>
      </c>
      <c r="S136" s="1">
        <v>128.6</v>
      </c>
      <c r="T136" s="1">
        <v>133.8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</v>
      </c>
      <c r="AB136" s="1">
        <v>122.1</v>
      </c>
      <c r="AC136" s="1">
        <v>122.8</v>
      </c>
      <c r="AD136" s="1">
        <v>130.9</v>
      </c>
    </row>
    <row r="137" ht="14.25" customHeight="1">
      <c r="A137" s="1" t="s">
        <v>30</v>
      </c>
      <c r="B137" s="1">
        <v>2016.0</v>
      </c>
      <c r="C137" s="1" t="s">
        <v>43</v>
      </c>
      <c r="D137" s="1">
        <v>131.3</v>
      </c>
      <c r="E137" s="1">
        <v>137.6</v>
      </c>
      <c r="F137" s="1">
        <v>130.1</v>
      </c>
      <c r="G137" s="1">
        <v>136.0</v>
      </c>
      <c r="H137" s="1">
        <v>120.8</v>
      </c>
      <c r="I137" s="1">
        <v>138.4</v>
      </c>
      <c r="J137" s="1">
        <v>149.2</v>
      </c>
      <c r="K137" s="1">
        <v>170.2</v>
      </c>
      <c r="L137" s="1">
        <v>113.4</v>
      </c>
      <c r="M137" s="1">
        <v>136.3</v>
      </c>
      <c r="N137" s="1">
        <v>128.7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</v>
      </c>
      <c r="T137" s="1">
        <v>138.8</v>
      </c>
      <c r="U137" s="1">
        <v>128.7</v>
      </c>
      <c r="V137" s="1">
        <v>129.8</v>
      </c>
      <c r="W137" s="1">
        <v>131.8</v>
      </c>
      <c r="X137" s="1">
        <v>128.7</v>
      </c>
      <c r="Y137" s="1">
        <v>117.8</v>
      </c>
      <c r="Z137" s="1">
        <v>126.5</v>
      </c>
      <c r="AA137" s="1">
        <v>133.0</v>
      </c>
      <c r="AB137" s="1">
        <v>123.0</v>
      </c>
      <c r="AC137" s="1">
        <v>125.7</v>
      </c>
      <c r="AD137" s="1">
        <v>133.8</v>
      </c>
    </row>
    <row r="138" ht="14.25" customHeight="1">
      <c r="A138" s="1" t="s">
        <v>33</v>
      </c>
      <c r="B138" s="1">
        <v>2016.0</v>
      </c>
      <c r="C138" s="1" t="s">
        <v>43</v>
      </c>
      <c r="D138" s="1">
        <v>128.7</v>
      </c>
      <c r="E138" s="1">
        <v>138.4</v>
      </c>
      <c r="F138" s="1">
        <v>130.3</v>
      </c>
      <c r="G138" s="1">
        <v>132.7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</v>
      </c>
      <c r="N138" s="1">
        <v>122.5</v>
      </c>
      <c r="O138" s="1">
        <v>139.6</v>
      </c>
      <c r="P138" s="1">
        <v>136.3</v>
      </c>
      <c r="Q138" s="1">
        <v>144.3</v>
      </c>
      <c r="R138" s="1">
        <v>129.1</v>
      </c>
      <c r="S138" s="1">
        <v>121.9</v>
      </c>
      <c r="T138" s="1">
        <v>128.0</v>
      </c>
      <c r="U138" s="1">
        <v>128.7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ht="14.25" customHeight="1">
      <c r="A139" s="1" t="s">
        <v>34</v>
      </c>
      <c r="B139" s="1">
        <v>2016.0</v>
      </c>
      <c r="C139" s="1" t="s">
        <v>43</v>
      </c>
      <c r="D139" s="1">
        <v>130.5</v>
      </c>
      <c r="E139" s="1">
        <v>137.9</v>
      </c>
      <c r="F139" s="1">
        <v>130.2</v>
      </c>
      <c r="G139" s="1">
        <v>134.8</v>
      </c>
      <c r="H139" s="1">
        <v>117.8</v>
      </c>
      <c r="I139" s="1">
        <v>134.7</v>
      </c>
      <c r="J139" s="1">
        <v>151.2</v>
      </c>
      <c r="K139" s="1">
        <v>172.1</v>
      </c>
      <c r="L139" s="1">
        <v>114.1</v>
      </c>
      <c r="M139" s="1">
        <v>139.3</v>
      </c>
      <c r="N139" s="1">
        <v>126.1</v>
      </c>
      <c r="O139" s="1">
        <v>141.1</v>
      </c>
      <c r="P139" s="1">
        <v>137.0</v>
      </c>
      <c r="Q139" s="1">
        <v>141.8</v>
      </c>
      <c r="R139" s="1">
        <v>135.5</v>
      </c>
      <c r="S139" s="1">
        <v>129.1</v>
      </c>
      <c r="T139" s="1">
        <v>134.5</v>
      </c>
      <c r="U139" s="1">
        <v>128.7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ht="14.25" customHeight="1">
      <c r="A140" s="1" t="s">
        <v>30</v>
      </c>
      <c r="B140" s="1">
        <v>2016.0</v>
      </c>
      <c r="C140" s="1" t="s">
        <v>45</v>
      </c>
      <c r="D140" s="1">
        <v>132.0</v>
      </c>
      <c r="E140" s="1">
        <v>137.4</v>
      </c>
      <c r="F140" s="1">
        <v>130.6</v>
      </c>
      <c r="G140" s="1">
        <v>136.2</v>
      </c>
      <c r="H140" s="1">
        <v>121.1</v>
      </c>
      <c r="I140" s="1">
        <v>136.9</v>
      </c>
      <c r="J140" s="1">
        <v>141.8</v>
      </c>
      <c r="K140" s="1">
        <v>170.0</v>
      </c>
      <c r="L140" s="1">
        <v>113.4</v>
      </c>
      <c r="M140" s="1">
        <v>136.8</v>
      </c>
      <c r="N140" s="1">
        <v>128.7</v>
      </c>
      <c r="O140" s="1">
        <v>143.1</v>
      </c>
      <c r="P140" s="1">
        <v>136.6</v>
      </c>
      <c r="Q140" s="1">
        <v>141.2</v>
      </c>
      <c r="R140" s="1">
        <v>139.9</v>
      </c>
      <c r="S140" s="1">
        <v>134.5</v>
      </c>
      <c r="T140" s="1">
        <v>139.2</v>
      </c>
      <c r="U140" s="1">
        <v>129.1</v>
      </c>
      <c r="V140" s="1">
        <v>130.3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133.7</v>
      </c>
      <c r="AB140" s="1">
        <v>123.5</v>
      </c>
      <c r="AC140" s="1">
        <v>126.1</v>
      </c>
      <c r="AD140" s="1">
        <v>133.6</v>
      </c>
    </row>
    <row r="141" ht="14.25" customHeight="1">
      <c r="A141" s="1" t="s">
        <v>33</v>
      </c>
      <c r="B141" s="1">
        <v>2016.0</v>
      </c>
      <c r="C141" s="1" t="s">
        <v>45</v>
      </c>
      <c r="D141" s="1">
        <v>130.2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</v>
      </c>
      <c r="J141" s="1">
        <v>142.0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</v>
      </c>
      <c r="P141" s="1">
        <v>135.2</v>
      </c>
      <c r="Q141" s="1">
        <v>144.3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ht="14.25" customHeight="1">
      <c r="A142" s="1" t="s">
        <v>34</v>
      </c>
      <c r="B142" s="1">
        <v>2016.0</v>
      </c>
      <c r="C142" s="1" t="s">
        <v>45</v>
      </c>
      <c r="D142" s="1">
        <v>131.4</v>
      </c>
      <c r="E142" s="1">
        <v>137.8</v>
      </c>
      <c r="F142" s="1">
        <v>132.0</v>
      </c>
      <c r="G142" s="1">
        <v>135.0</v>
      </c>
      <c r="H142" s="1">
        <v>118.0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139.7</v>
      </c>
      <c r="N142" s="1">
        <v>126.2</v>
      </c>
      <c r="O142" s="1">
        <v>141.8</v>
      </c>
      <c r="P142" s="1">
        <v>136.1</v>
      </c>
      <c r="Q142" s="1">
        <v>142.0</v>
      </c>
      <c r="R142" s="1">
        <v>135.8</v>
      </c>
      <c r="S142" s="1">
        <v>129.3</v>
      </c>
      <c r="T142" s="1">
        <v>135.0</v>
      </c>
      <c r="U142" s="1">
        <v>129.1</v>
      </c>
      <c r="V142" s="1">
        <v>125.0</v>
      </c>
      <c r="W142" s="1">
        <v>128.6</v>
      </c>
      <c r="X142" s="1">
        <v>126.4</v>
      </c>
      <c r="Y142" s="1">
        <v>115.7</v>
      </c>
      <c r="Z142" s="1">
        <v>124.0</v>
      </c>
      <c r="AA142" s="1">
        <v>132.8</v>
      </c>
      <c r="AB142" s="1">
        <v>122.6</v>
      </c>
      <c r="AC142" s="1">
        <v>123.8</v>
      </c>
      <c r="AD142" s="1">
        <v>131.2</v>
      </c>
    </row>
    <row r="143" ht="14.25" customHeight="1">
      <c r="A143" s="1" t="s">
        <v>30</v>
      </c>
      <c r="B143" s="1">
        <v>2016.0</v>
      </c>
      <c r="C143" s="1" t="s">
        <v>46</v>
      </c>
      <c r="D143" s="1">
        <v>132.6</v>
      </c>
      <c r="E143" s="1">
        <v>137.3</v>
      </c>
      <c r="F143" s="1">
        <v>131.6</v>
      </c>
      <c r="G143" s="1">
        <v>136.3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134.7</v>
      </c>
      <c r="Q143" s="1">
        <v>142.4</v>
      </c>
      <c r="R143" s="1">
        <v>140.4</v>
      </c>
      <c r="S143" s="1">
        <v>135.2</v>
      </c>
      <c r="T143" s="1">
        <v>139.7</v>
      </c>
      <c r="U143" s="1">
        <v>128.5</v>
      </c>
      <c r="V143" s="1">
        <v>132.0</v>
      </c>
      <c r="W143" s="1">
        <v>132.9</v>
      </c>
      <c r="X143" s="1">
        <v>129.7</v>
      </c>
      <c r="Y143" s="1">
        <v>118.6</v>
      </c>
      <c r="Z143" s="1">
        <v>127.3</v>
      </c>
      <c r="AA143" s="1">
        <v>134.2</v>
      </c>
      <c r="AB143" s="1">
        <v>121.9</v>
      </c>
      <c r="AC143" s="1">
        <v>126.3</v>
      </c>
      <c r="AD143" s="1">
        <v>132.8</v>
      </c>
    </row>
    <row r="144" ht="14.25" customHeight="1">
      <c r="A144" s="1" t="s">
        <v>33</v>
      </c>
      <c r="B144" s="1">
        <v>2016.0</v>
      </c>
      <c r="C144" s="1" t="s">
        <v>46</v>
      </c>
      <c r="D144" s="1">
        <v>131.6</v>
      </c>
      <c r="E144" s="1">
        <v>138.2</v>
      </c>
      <c r="F144" s="1">
        <v>134.9</v>
      </c>
      <c r="G144" s="1">
        <v>133.1</v>
      </c>
      <c r="H144" s="1">
        <v>113.5</v>
      </c>
      <c r="I144" s="1">
        <v>129.3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</v>
      </c>
      <c r="Q144" s="1">
        <v>145.0</v>
      </c>
      <c r="R144" s="1">
        <v>130.0</v>
      </c>
      <c r="S144" s="1">
        <v>122.2</v>
      </c>
      <c r="T144" s="1">
        <v>128.8</v>
      </c>
      <c r="U144" s="1">
        <v>128.5</v>
      </c>
      <c r="V144" s="1">
        <v>117.8</v>
      </c>
      <c r="W144" s="1">
        <v>125.0</v>
      </c>
      <c r="X144" s="1">
        <v>122.3</v>
      </c>
      <c r="Y144" s="1">
        <v>113.7</v>
      </c>
      <c r="Z144" s="1">
        <v>121.8</v>
      </c>
      <c r="AA144" s="1">
        <v>132.3</v>
      </c>
      <c r="AB144" s="1">
        <v>119.9</v>
      </c>
      <c r="AC144" s="1">
        <v>121.4</v>
      </c>
      <c r="AD144" s="1">
        <v>127.6</v>
      </c>
    </row>
    <row r="145" ht="14.25" customHeight="1">
      <c r="A145" s="1" t="s">
        <v>34</v>
      </c>
      <c r="B145" s="1">
        <v>2016.0</v>
      </c>
      <c r="C145" s="1" t="s">
        <v>46</v>
      </c>
      <c r="D145" s="1">
        <v>132.3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132.7</v>
      </c>
      <c r="J145" s="1">
        <v>125.3</v>
      </c>
      <c r="K145" s="1">
        <v>168.7</v>
      </c>
      <c r="L145" s="1">
        <v>114.4</v>
      </c>
      <c r="M145" s="1">
        <v>140.2</v>
      </c>
      <c r="N145" s="1">
        <v>126.6</v>
      </c>
      <c r="O145" s="1">
        <v>142.3</v>
      </c>
      <c r="P145" s="1">
        <v>134.0</v>
      </c>
      <c r="Q145" s="1">
        <v>143.1</v>
      </c>
      <c r="R145" s="1">
        <v>136.3</v>
      </c>
      <c r="S145" s="1">
        <v>129.8</v>
      </c>
      <c r="T145" s="1">
        <v>135.4</v>
      </c>
      <c r="U145" s="1">
        <v>128.5</v>
      </c>
      <c r="V145" s="1">
        <v>126.6</v>
      </c>
      <c r="W145" s="1">
        <v>129.2</v>
      </c>
      <c r="X145" s="1">
        <v>126.9</v>
      </c>
      <c r="Y145" s="1">
        <v>116.0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ht="14.25" customHeight="1">
      <c r="A146" s="1" t="s">
        <v>30</v>
      </c>
      <c r="B146" s="1">
        <v>2017.0</v>
      </c>
      <c r="C146" s="1" t="s">
        <v>31</v>
      </c>
      <c r="D146" s="1">
        <v>133.1</v>
      </c>
      <c r="E146" s="1">
        <v>137.8</v>
      </c>
      <c r="F146" s="1">
        <v>131.9</v>
      </c>
      <c r="G146" s="1">
        <v>136.7</v>
      </c>
      <c r="H146" s="1">
        <v>122.0</v>
      </c>
      <c r="I146" s="1">
        <v>136.0</v>
      </c>
      <c r="J146" s="1">
        <v>119.8</v>
      </c>
      <c r="K146" s="1">
        <v>161.7</v>
      </c>
      <c r="L146" s="1">
        <v>114.8</v>
      </c>
      <c r="M146" s="1">
        <v>136.9</v>
      </c>
      <c r="N146" s="1">
        <v>129.0</v>
      </c>
      <c r="O146" s="1">
        <v>143.9</v>
      </c>
      <c r="P146" s="1">
        <v>133.7</v>
      </c>
      <c r="Q146" s="1">
        <v>143.1</v>
      </c>
      <c r="R146" s="1">
        <v>140.7</v>
      </c>
      <c r="S146" s="1">
        <v>135.8</v>
      </c>
      <c r="T146" s="1">
        <v>140.0</v>
      </c>
      <c r="U146" s="1">
        <v>129.6</v>
      </c>
      <c r="V146" s="1">
        <v>132.1</v>
      </c>
      <c r="W146" s="1">
        <v>133.2</v>
      </c>
      <c r="X146" s="1">
        <v>129.9</v>
      </c>
      <c r="Y146" s="1">
        <v>119.1</v>
      </c>
      <c r="Z146" s="1">
        <v>127.0</v>
      </c>
      <c r="AA146" s="1">
        <v>134.6</v>
      </c>
      <c r="AB146" s="1">
        <v>122.3</v>
      </c>
      <c r="AC146" s="1">
        <v>126.6</v>
      </c>
      <c r="AD146" s="1">
        <v>132.4</v>
      </c>
    </row>
    <row r="147" ht="14.25" customHeight="1">
      <c r="A147" s="1" t="s">
        <v>33</v>
      </c>
      <c r="B147" s="1">
        <v>2017.0</v>
      </c>
      <c r="C147" s="1" t="s">
        <v>31</v>
      </c>
      <c r="D147" s="1">
        <v>132.2</v>
      </c>
      <c r="E147" s="1">
        <v>138.9</v>
      </c>
      <c r="F147" s="1">
        <v>132.6</v>
      </c>
      <c r="G147" s="1">
        <v>133.1</v>
      </c>
      <c r="H147" s="1">
        <v>114.0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132.0</v>
      </c>
      <c r="Q147" s="1">
        <v>145.6</v>
      </c>
      <c r="R147" s="1">
        <v>130.2</v>
      </c>
      <c r="S147" s="1">
        <v>122.3</v>
      </c>
      <c r="T147" s="1">
        <v>129.0</v>
      </c>
      <c r="U147" s="1">
        <v>129.6</v>
      </c>
      <c r="V147" s="1">
        <v>118.0</v>
      </c>
      <c r="W147" s="1">
        <v>125.1</v>
      </c>
      <c r="X147" s="1">
        <v>122.6</v>
      </c>
      <c r="Y147" s="1">
        <v>115.2</v>
      </c>
      <c r="Z147" s="1">
        <v>122.0</v>
      </c>
      <c r="AA147" s="1">
        <v>132.4</v>
      </c>
      <c r="AB147" s="1">
        <v>120.9</v>
      </c>
      <c r="AC147" s="1">
        <v>122.1</v>
      </c>
      <c r="AD147" s="1">
        <v>127.8</v>
      </c>
    </row>
    <row r="148" ht="14.25" customHeight="1">
      <c r="A148" s="1" t="s">
        <v>34</v>
      </c>
      <c r="B148" s="1">
        <v>2017.0</v>
      </c>
      <c r="C148" s="1" t="s">
        <v>31</v>
      </c>
      <c r="D148" s="1">
        <v>132.8</v>
      </c>
      <c r="E148" s="1">
        <v>138.2</v>
      </c>
      <c r="F148" s="1">
        <v>132.2</v>
      </c>
      <c r="G148" s="1">
        <v>135.4</v>
      </c>
      <c r="H148" s="1">
        <v>119.1</v>
      </c>
      <c r="I148" s="1">
        <v>133.0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</v>
      </c>
      <c r="P148" s="1">
        <v>133.1</v>
      </c>
      <c r="Q148" s="1">
        <v>143.8</v>
      </c>
      <c r="R148" s="1">
        <v>136.6</v>
      </c>
      <c r="S148" s="1">
        <v>130.2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117.0</v>
      </c>
      <c r="Z148" s="1">
        <v>124.2</v>
      </c>
      <c r="AA148" s="1">
        <v>133.3</v>
      </c>
      <c r="AB148" s="1">
        <v>121.7</v>
      </c>
      <c r="AC148" s="1">
        <v>124.4</v>
      </c>
      <c r="AD148" s="1">
        <v>130.3</v>
      </c>
    </row>
    <row r="149" ht="14.25" customHeight="1">
      <c r="A149" s="1" t="s">
        <v>30</v>
      </c>
      <c r="B149" s="1">
        <v>2017.0</v>
      </c>
      <c r="C149" s="1" t="s">
        <v>35</v>
      </c>
      <c r="D149" s="1">
        <v>133.3</v>
      </c>
      <c r="E149" s="1">
        <v>138.3</v>
      </c>
      <c r="F149" s="1">
        <v>129.3</v>
      </c>
      <c r="G149" s="1">
        <v>137.2</v>
      </c>
      <c r="H149" s="1">
        <v>122.1</v>
      </c>
      <c r="I149" s="1">
        <v>138.7</v>
      </c>
      <c r="J149" s="1">
        <v>119.1</v>
      </c>
      <c r="K149" s="1">
        <v>156.9</v>
      </c>
      <c r="L149" s="1">
        <v>116.2</v>
      </c>
      <c r="M149" s="1">
        <v>136.0</v>
      </c>
      <c r="N149" s="1">
        <v>129.4</v>
      </c>
      <c r="O149" s="1">
        <v>144.4</v>
      </c>
      <c r="P149" s="1">
        <v>133.6</v>
      </c>
      <c r="Q149" s="1">
        <v>143.7</v>
      </c>
      <c r="R149" s="1">
        <v>140.9</v>
      </c>
      <c r="S149" s="1">
        <v>135.8</v>
      </c>
      <c r="T149" s="1">
        <v>140.2</v>
      </c>
      <c r="U149" s="1">
        <v>130.5</v>
      </c>
      <c r="V149" s="1">
        <v>133.2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127.0</v>
      </c>
      <c r="AD149" s="1">
        <v>132.6</v>
      </c>
    </row>
    <row r="150" ht="14.25" customHeight="1">
      <c r="A150" s="1" t="s">
        <v>33</v>
      </c>
      <c r="B150" s="1">
        <v>2017.0</v>
      </c>
      <c r="C150" s="1" t="s">
        <v>35</v>
      </c>
      <c r="D150" s="1">
        <v>132.8</v>
      </c>
      <c r="E150" s="1">
        <v>139.8</v>
      </c>
      <c r="F150" s="1">
        <v>129.3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144.0</v>
      </c>
      <c r="N150" s="1">
        <v>123.4</v>
      </c>
      <c r="O150" s="1">
        <v>141.9</v>
      </c>
      <c r="P150" s="1">
        <v>132.1</v>
      </c>
      <c r="Q150" s="1">
        <v>146.3</v>
      </c>
      <c r="R150" s="1">
        <v>130.5</v>
      </c>
      <c r="S150" s="1">
        <v>122.5</v>
      </c>
      <c r="T150" s="1">
        <v>129.3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128.2</v>
      </c>
    </row>
    <row r="151" ht="14.25" customHeight="1">
      <c r="A151" s="1" t="s">
        <v>34</v>
      </c>
      <c r="B151" s="1">
        <v>2017.0</v>
      </c>
      <c r="C151" s="1" t="s">
        <v>35</v>
      </c>
      <c r="D151" s="1">
        <v>133.1</v>
      </c>
      <c r="E151" s="1">
        <v>138.8</v>
      </c>
      <c r="F151" s="1">
        <v>129.3</v>
      </c>
      <c r="G151" s="1">
        <v>135.8</v>
      </c>
      <c r="H151" s="1">
        <v>119.2</v>
      </c>
      <c r="I151" s="1">
        <v>135.3</v>
      </c>
      <c r="J151" s="1">
        <v>119.5</v>
      </c>
      <c r="K151" s="1">
        <v>152.2</v>
      </c>
      <c r="L151" s="1">
        <v>117.3</v>
      </c>
      <c r="M151" s="1">
        <v>138.7</v>
      </c>
      <c r="N151" s="1">
        <v>126.9</v>
      </c>
      <c r="O151" s="1">
        <v>143.2</v>
      </c>
      <c r="P151" s="1">
        <v>133.0</v>
      </c>
      <c r="Q151" s="1">
        <v>144.4</v>
      </c>
      <c r="R151" s="1">
        <v>136.8</v>
      </c>
      <c r="S151" s="1">
        <v>130.3</v>
      </c>
      <c r="T151" s="1">
        <v>135.9</v>
      </c>
      <c r="U151" s="1">
        <v>130.5</v>
      </c>
      <c r="V151" s="1">
        <v>127.9</v>
      </c>
      <c r="W151" s="1">
        <v>129.7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ht="14.25" customHeight="1">
      <c r="A152" s="1" t="s">
        <v>30</v>
      </c>
      <c r="B152" s="1">
        <v>2017.0</v>
      </c>
      <c r="C152" s="1" t="s">
        <v>36</v>
      </c>
      <c r="D152" s="1">
        <v>133.6</v>
      </c>
      <c r="E152" s="1">
        <v>138.8</v>
      </c>
      <c r="F152" s="1">
        <v>128.8</v>
      </c>
      <c r="G152" s="1">
        <v>137.2</v>
      </c>
      <c r="H152" s="1">
        <v>121.6</v>
      </c>
      <c r="I152" s="1">
        <v>139.7</v>
      </c>
      <c r="J152" s="1">
        <v>119.7</v>
      </c>
      <c r="K152" s="1">
        <v>148.0</v>
      </c>
      <c r="L152" s="1">
        <v>116.9</v>
      </c>
      <c r="M152" s="1">
        <v>135.6</v>
      </c>
      <c r="N152" s="1">
        <v>129.8</v>
      </c>
      <c r="O152" s="1">
        <v>145.4</v>
      </c>
      <c r="P152" s="1">
        <v>133.4</v>
      </c>
      <c r="Q152" s="1">
        <v>144.2</v>
      </c>
      <c r="R152" s="1">
        <v>141.6</v>
      </c>
      <c r="S152" s="1">
        <v>136.2</v>
      </c>
      <c r="T152" s="1">
        <v>140.8</v>
      </c>
      <c r="U152" s="1">
        <v>131.1</v>
      </c>
      <c r="V152" s="1">
        <v>134.2</v>
      </c>
      <c r="W152" s="1">
        <v>134.1</v>
      </c>
      <c r="X152" s="1">
        <v>130.6</v>
      </c>
      <c r="Y152" s="1">
        <v>119.8</v>
      </c>
      <c r="Z152" s="1">
        <v>128.3</v>
      </c>
      <c r="AA152" s="1">
        <v>135.2</v>
      </c>
      <c r="AB152" s="1">
        <v>123.3</v>
      </c>
      <c r="AC152" s="1">
        <v>127.4</v>
      </c>
      <c r="AD152" s="1">
        <v>132.8</v>
      </c>
    </row>
    <row r="153" ht="14.25" customHeight="1">
      <c r="A153" s="1" t="s">
        <v>33</v>
      </c>
      <c r="B153" s="1">
        <v>2017.0</v>
      </c>
      <c r="C153" s="1" t="s">
        <v>36</v>
      </c>
      <c r="D153" s="1">
        <v>132.7</v>
      </c>
      <c r="E153" s="1">
        <v>139.4</v>
      </c>
      <c r="F153" s="1">
        <v>128.4</v>
      </c>
      <c r="G153" s="1">
        <v>134.9</v>
      </c>
      <c r="H153" s="1">
        <v>114.0</v>
      </c>
      <c r="I153" s="1">
        <v>136.8</v>
      </c>
      <c r="J153" s="1">
        <v>122.2</v>
      </c>
      <c r="K153" s="1">
        <v>135.8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</v>
      </c>
      <c r="AB153" s="1">
        <v>121.7</v>
      </c>
      <c r="AC153" s="1">
        <v>122.6</v>
      </c>
      <c r="AD153" s="1">
        <v>128.7</v>
      </c>
    </row>
    <row r="154" ht="14.25" customHeight="1">
      <c r="A154" s="1" t="s">
        <v>34</v>
      </c>
      <c r="B154" s="1">
        <v>2017.0</v>
      </c>
      <c r="C154" s="1" t="s">
        <v>36</v>
      </c>
      <c r="D154" s="1">
        <v>133.3</v>
      </c>
      <c r="E154" s="1">
        <v>139.0</v>
      </c>
      <c r="F154" s="1">
        <v>128.6</v>
      </c>
      <c r="G154" s="1">
        <v>136.3</v>
      </c>
      <c r="H154" s="1">
        <v>118.8</v>
      </c>
      <c r="I154" s="1">
        <v>138.3</v>
      </c>
      <c r="J154" s="1">
        <v>120.5</v>
      </c>
      <c r="K154" s="1">
        <v>143.9</v>
      </c>
      <c r="L154" s="1">
        <v>118.0</v>
      </c>
      <c r="M154" s="1">
        <v>137.9</v>
      </c>
      <c r="N154" s="1">
        <v>127.2</v>
      </c>
      <c r="O154" s="1">
        <v>144.0</v>
      </c>
      <c r="P154" s="1">
        <v>133.1</v>
      </c>
      <c r="Q154" s="1">
        <v>145.1</v>
      </c>
      <c r="R154" s="1">
        <v>137.3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125.0</v>
      </c>
      <c r="AA154" s="1">
        <v>133.8</v>
      </c>
      <c r="AB154" s="1">
        <v>122.6</v>
      </c>
      <c r="AC154" s="1">
        <v>125.1</v>
      </c>
      <c r="AD154" s="1">
        <v>130.9</v>
      </c>
    </row>
    <row r="155" ht="14.25" customHeight="1">
      <c r="A155" s="1" t="s">
        <v>30</v>
      </c>
      <c r="B155" s="1">
        <v>2017.0</v>
      </c>
      <c r="C155" s="1" t="s">
        <v>37</v>
      </c>
      <c r="D155" s="1">
        <v>133.2</v>
      </c>
      <c r="E155" s="1">
        <v>138.7</v>
      </c>
      <c r="F155" s="1">
        <v>127.1</v>
      </c>
      <c r="G155" s="1">
        <v>137.7</v>
      </c>
      <c r="H155" s="1">
        <v>121.3</v>
      </c>
      <c r="I155" s="1">
        <v>141.8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130.0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</v>
      </c>
      <c r="T155" s="1">
        <v>141.6</v>
      </c>
      <c r="U155" s="1">
        <v>131.7</v>
      </c>
      <c r="V155" s="1">
        <v>135.0</v>
      </c>
      <c r="W155" s="1">
        <v>134.3</v>
      </c>
      <c r="X155" s="1">
        <v>131.0</v>
      </c>
      <c r="Y155" s="1">
        <v>119.2</v>
      </c>
      <c r="Z155" s="1">
        <v>128.3</v>
      </c>
      <c r="AA155" s="1">
        <v>135.7</v>
      </c>
      <c r="AB155" s="1">
        <v>123.7</v>
      </c>
      <c r="AC155" s="1">
        <v>127.5</v>
      </c>
      <c r="AD155" s="1">
        <v>132.9</v>
      </c>
    </row>
    <row r="156" ht="14.25" customHeight="1">
      <c r="A156" s="1" t="s">
        <v>33</v>
      </c>
      <c r="B156" s="1">
        <v>2017.0</v>
      </c>
      <c r="C156" s="1" t="s">
        <v>37</v>
      </c>
      <c r="D156" s="1">
        <v>132.7</v>
      </c>
      <c r="E156" s="1">
        <v>140.6</v>
      </c>
      <c r="F156" s="1">
        <v>124.5</v>
      </c>
      <c r="G156" s="1">
        <v>136.3</v>
      </c>
      <c r="H156" s="1">
        <v>113.5</v>
      </c>
      <c r="I156" s="1">
        <v>137.7</v>
      </c>
      <c r="J156" s="1">
        <v>127.1</v>
      </c>
      <c r="K156" s="1">
        <v>133.8</v>
      </c>
      <c r="L156" s="1">
        <v>120.8</v>
      </c>
      <c r="M156" s="1">
        <v>141.3</v>
      </c>
      <c r="N156" s="1">
        <v>123.8</v>
      </c>
      <c r="O156" s="1">
        <v>142.6</v>
      </c>
      <c r="P156" s="1">
        <v>133.4</v>
      </c>
      <c r="Q156" s="1">
        <v>148.0</v>
      </c>
      <c r="R156" s="1">
        <v>131.2</v>
      </c>
      <c r="S156" s="1">
        <v>123.0</v>
      </c>
      <c r="T156" s="1">
        <v>130.0</v>
      </c>
      <c r="U156" s="1">
        <v>131.7</v>
      </c>
      <c r="V156" s="1">
        <v>121.4</v>
      </c>
      <c r="W156" s="1">
        <v>126.0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ht="14.25" customHeight="1">
      <c r="A157" s="1" t="s">
        <v>34</v>
      </c>
      <c r="B157" s="1">
        <v>2017.0</v>
      </c>
      <c r="C157" s="1" t="s">
        <v>37</v>
      </c>
      <c r="D157" s="1">
        <v>133.0</v>
      </c>
      <c r="E157" s="1">
        <v>139.4</v>
      </c>
      <c r="F157" s="1">
        <v>126.1</v>
      </c>
      <c r="G157" s="1">
        <v>137.2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144.2</v>
      </c>
      <c r="P157" s="1">
        <v>133.5</v>
      </c>
      <c r="Q157" s="1">
        <v>145.4</v>
      </c>
      <c r="R157" s="1">
        <v>138.0</v>
      </c>
      <c r="S157" s="1">
        <v>131.1</v>
      </c>
      <c r="T157" s="1">
        <v>137.0</v>
      </c>
      <c r="U157" s="1">
        <v>131.7</v>
      </c>
      <c r="V157" s="1">
        <v>129.8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ht="14.25" customHeight="1">
      <c r="A158" s="1" t="s">
        <v>30</v>
      </c>
      <c r="B158" s="1">
        <v>2017.0</v>
      </c>
      <c r="C158" s="1" t="s">
        <v>38</v>
      </c>
      <c r="D158" s="1">
        <v>133.1</v>
      </c>
      <c r="E158" s="1">
        <v>140.3</v>
      </c>
      <c r="F158" s="1">
        <v>126.8</v>
      </c>
      <c r="G158" s="1">
        <v>138.2</v>
      </c>
      <c r="H158" s="1">
        <v>120.8</v>
      </c>
      <c r="I158" s="1">
        <v>140.2</v>
      </c>
      <c r="J158" s="1">
        <v>123.8</v>
      </c>
      <c r="K158" s="1">
        <v>141.8</v>
      </c>
      <c r="L158" s="1">
        <v>118.6</v>
      </c>
      <c r="M158" s="1">
        <v>134.0</v>
      </c>
      <c r="N158" s="1">
        <v>130.3</v>
      </c>
      <c r="O158" s="1">
        <v>145.8</v>
      </c>
      <c r="P158" s="1">
        <v>133.8</v>
      </c>
      <c r="Q158" s="1">
        <v>145.5</v>
      </c>
      <c r="R158" s="1">
        <v>142.5</v>
      </c>
      <c r="S158" s="1">
        <v>137.3</v>
      </c>
      <c r="T158" s="1">
        <v>141.8</v>
      </c>
      <c r="U158" s="1">
        <v>132.1</v>
      </c>
      <c r="V158" s="1">
        <v>135.0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</v>
      </c>
      <c r="AB158" s="1">
        <v>123.7</v>
      </c>
      <c r="AC158" s="1">
        <v>127.9</v>
      </c>
      <c r="AD158" s="1">
        <v>133.3</v>
      </c>
    </row>
    <row r="159" ht="14.25" customHeight="1">
      <c r="A159" s="1" t="s">
        <v>33</v>
      </c>
      <c r="B159" s="1">
        <v>2017.0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</v>
      </c>
      <c r="H159" s="1">
        <v>113.4</v>
      </c>
      <c r="I159" s="1">
        <v>135.2</v>
      </c>
      <c r="J159" s="1">
        <v>129.2</v>
      </c>
      <c r="K159" s="1">
        <v>131.5</v>
      </c>
      <c r="L159" s="1">
        <v>121.0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</v>
      </c>
      <c r="R159" s="1">
        <v>131.5</v>
      </c>
      <c r="S159" s="1">
        <v>123.2</v>
      </c>
      <c r="T159" s="1">
        <v>130.2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</v>
      </c>
      <c r="AB159" s="1">
        <v>122.0</v>
      </c>
      <c r="AC159" s="1">
        <v>122.6</v>
      </c>
      <c r="AD159" s="1">
        <v>129.3</v>
      </c>
    </row>
    <row r="160" ht="14.25" customHeight="1">
      <c r="A160" s="1" t="s">
        <v>34</v>
      </c>
      <c r="B160" s="1">
        <v>2017.0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137.7</v>
      </c>
      <c r="H160" s="1">
        <v>118.1</v>
      </c>
      <c r="I160" s="1">
        <v>137.9</v>
      </c>
      <c r="J160" s="1">
        <v>125.6</v>
      </c>
      <c r="K160" s="1">
        <v>138.3</v>
      </c>
      <c r="L160" s="1">
        <v>119.4</v>
      </c>
      <c r="M160" s="1">
        <v>136.0</v>
      </c>
      <c r="N160" s="1">
        <v>127.6</v>
      </c>
      <c r="O160" s="1">
        <v>144.5</v>
      </c>
      <c r="P160" s="1">
        <v>133.7</v>
      </c>
      <c r="Q160" s="1">
        <v>146.2</v>
      </c>
      <c r="R160" s="1">
        <v>138.2</v>
      </c>
      <c r="S160" s="1">
        <v>131.4</v>
      </c>
      <c r="T160" s="1">
        <v>137.2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</v>
      </c>
      <c r="AB160" s="1">
        <v>123.0</v>
      </c>
      <c r="AC160" s="1">
        <v>125.3</v>
      </c>
      <c r="AD160" s="1">
        <v>131.4</v>
      </c>
    </row>
    <row r="161" ht="14.25" customHeight="1">
      <c r="A161" s="1" t="s">
        <v>30</v>
      </c>
      <c r="B161" s="1">
        <v>2017.0</v>
      </c>
      <c r="C161" s="1" t="s">
        <v>39</v>
      </c>
      <c r="D161" s="1">
        <v>133.5</v>
      </c>
      <c r="E161" s="1">
        <v>143.7</v>
      </c>
      <c r="F161" s="1">
        <v>128.0</v>
      </c>
      <c r="G161" s="1">
        <v>138.6</v>
      </c>
      <c r="H161" s="1">
        <v>120.9</v>
      </c>
      <c r="I161" s="1">
        <v>140.9</v>
      </c>
      <c r="J161" s="1">
        <v>128.8</v>
      </c>
      <c r="K161" s="1">
        <v>140.2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</v>
      </c>
      <c r="R161" s="1">
        <v>143.1</v>
      </c>
      <c r="S161" s="1">
        <v>137.7</v>
      </c>
      <c r="T161" s="1">
        <v>142.3</v>
      </c>
      <c r="U161" s="1">
        <v>131.4</v>
      </c>
      <c r="V161" s="1">
        <v>134.8</v>
      </c>
      <c r="W161" s="1">
        <v>135.2</v>
      </c>
      <c r="X161" s="1">
        <v>131.3</v>
      </c>
      <c r="Y161" s="1">
        <v>119.4</v>
      </c>
      <c r="Z161" s="1">
        <v>129.8</v>
      </c>
      <c r="AA161" s="1">
        <v>136.9</v>
      </c>
      <c r="AB161" s="1">
        <v>124.1</v>
      </c>
      <c r="AC161" s="1">
        <v>128.1</v>
      </c>
      <c r="AD161" s="1">
        <v>133.9</v>
      </c>
    </row>
    <row r="162" ht="14.25" customHeight="1">
      <c r="A162" s="1" t="s">
        <v>33</v>
      </c>
      <c r="B162" s="1">
        <v>2017.0</v>
      </c>
      <c r="C162" s="1" t="s">
        <v>39</v>
      </c>
      <c r="D162" s="1">
        <v>132.9</v>
      </c>
      <c r="E162" s="1">
        <v>148.7</v>
      </c>
      <c r="F162" s="1">
        <v>128.3</v>
      </c>
      <c r="G162" s="1">
        <v>137.3</v>
      </c>
      <c r="H162" s="1">
        <v>113.5</v>
      </c>
      <c r="I162" s="1">
        <v>137.2</v>
      </c>
      <c r="J162" s="1">
        <v>142.2</v>
      </c>
      <c r="K162" s="1">
        <v>128.2</v>
      </c>
      <c r="L162" s="1">
        <v>120.9</v>
      </c>
      <c r="M162" s="1">
        <v>138.8</v>
      </c>
      <c r="N162" s="1">
        <v>124.2</v>
      </c>
      <c r="O162" s="1">
        <v>143.1</v>
      </c>
      <c r="P162" s="1">
        <v>135.7</v>
      </c>
      <c r="Q162" s="1">
        <v>148.6</v>
      </c>
      <c r="R162" s="1">
        <v>131.5</v>
      </c>
      <c r="S162" s="1">
        <v>123.2</v>
      </c>
      <c r="T162" s="1">
        <v>130.2</v>
      </c>
      <c r="U162" s="1">
        <v>131.4</v>
      </c>
      <c r="V162" s="1">
        <v>119.0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</v>
      </c>
      <c r="AB162" s="1">
        <v>122.5</v>
      </c>
      <c r="AC162" s="1">
        <v>122.7</v>
      </c>
      <c r="AD162" s="1">
        <v>129.9</v>
      </c>
    </row>
    <row r="163" ht="14.25" customHeight="1">
      <c r="A163" s="1" t="s">
        <v>34</v>
      </c>
      <c r="B163" s="1">
        <v>2017.0</v>
      </c>
      <c r="C163" s="1" t="s">
        <v>39</v>
      </c>
      <c r="D163" s="1">
        <v>133.3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139.2</v>
      </c>
      <c r="J163" s="1">
        <v>133.3</v>
      </c>
      <c r="K163" s="1">
        <v>136.2</v>
      </c>
      <c r="L163" s="1">
        <v>119.6</v>
      </c>
      <c r="M163" s="1">
        <v>135.3</v>
      </c>
      <c r="N163" s="1">
        <v>127.8</v>
      </c>
      <c r="O163" s="1">
        <v>144.9</v>
      </c>
      <c r="P163" s="1">
        <v>135.2</v>
      </c>
      <c r="Q163" s="1">
        <v>146.5</v>
      </c>
      <c r="R163" s="1">
        <v>138.5</v>
      </c>
      <c r="S163" s="1">
        <v>131.7</v>
      </c>
      <c r="T163" s="1">
        <v>137.5</v>
      </c>
      <c r="U163" s="1">
        <v>131.4</v>
      </c>
      <c r="V163" s="1">
        <v>128.8</v>
      </c>
      <c r="W163" s="1">
        <v>131.2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132.0</v>
      </c>
    </row>
    <row r="164" ht="14.25" customHeight="1">
      <c r="A164" s="1" t="s">
        <v>30</v>
      </c>
      <c r="B164" s="1">
        <v>2017.0</v>
      </c>
      <c r="C164" s="1" t="s">
        <v>40</v>
      </c>
      <c r="D164" s="1">
        <v>134.0</v>
      </c>
      <c r="E164" s="1">
        <v>144.2</v>
      </c>
      <c r="F164" s="1">
        <v>129.8</v>
      </c>
      <c r="G164" s="1">
        <v>139.0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120.0</v>
      </c>
      <c r="M164" s="1">
        <v>133.9</v>
      </c>
      <c r="N164" s="1">
        <v>131.4</v>
      </c>
      <c r="O164" s="1">
        <v>147.7</v>
      </c>
      <c r="P164" s="1">
        <v>138.5</v>
      </c>
      <c r="Q164" s="1">
        <v>147.4</v>
      </c>
      <c r="R164" s="1">
        <v>144.3</v>
      </c>
      <c r="S164" s="1">
        <v>138.1</v>
      </c>
      <c r="T164" s="1">
        <v>143.5</v>
      </c>
      <c r="U164" s="1">
        <v>132.6</v>
      </c>
      <c r="V164" s="1">
        <v>135.3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136.2</v>
      </c>
    </row>
    <row r="165" ht="14.25" customHeight="1">
      <c r="A165" s="1" t="s">
        <v>33</v>
      </c>
      <c r="B165" s="1">
        <v>2017.0</v>
      </c>
      <c r="C165" s="1" t="s">
        <v>40</v>
      </c>
      <c r="D165" s="1">
        <v>132.8</v>
      </c>
      <c r="E165" s="1">
        <v>148.4</v>
      </c>
      <c r="F165" s="1">
        <v>129.4</v>
      </c>
      <c r="G165" s="1">
        <v>137.7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</v>
      </c>
      <c r="N165" s="1">
        <v>124.4</v>
      </c>
      <c r="O165" s="1">
        <v>143.7</v>
      </c>
      <c r="P165" s="1">
        <v>139.8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125.0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123.0</v>
      </c>
      <c r="AD165" s="1">
        <v>131.8</v>
      </c>
    </row>
    <row r="166" ht="14.25" customHeight="1">
      <c r="A166" s="1" t="s">
        <v>34</v>
      </c>
      <c r="B166" s="1">
        <v>2017.0</v>
      </c>
      <c r="C166" s="1" t="s">
        <v>40</v>
      </c>
      <c r="D166" s="1">
        <v>133.6</v>
      </c>
      <c r="E166" s="1">
        <v>145.7</v>
      </c>
      <c r="F166" s="1">
        <v>129.6</v>
      </c>
      <c r="G166" s="1">
        <v>138.5</v>
      </c>
      <c r="H166" s="1">
        <v>118.1</v>
      </c>
      <c r="I166" s="1">
        <v>141.8</v>
      </c>
      <c r="J166" s="1">
        <v>159.5</v>
      </c>
      <c r="K166" s="1">
        <v>133.6</v>
      </c>
      <c r="L166" s="1">
        <v>120.5</v>
      </c>
      <c r="M166" s="1">
        <v>135.2</v>
      </c>
      <c r="N166" s="1">
        <v>128.5</v>
      </c>
      <c r="O166" s="1">
        <v>145.8</v>
      </c>
      <c r="P166" s="1">
        <v>139.0</v>
      </c>
      <c r="Q166" s="1">
        <v>148.2</v>
      </c>
      <c r="R166" s="1">
        <v>139.3</v>
      </c>
      <c r="S166" s="1">
        <v>132.1</v>
      </c>
      <c r="T166" s="1">
        <v>138.3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116.0</v>
      </c>
      <c r="Z166" s="1">
        <v>126.6</v>
      </c>
      <c r="AA166" s="1">
        <v>136.8</v>
      </c>
      <c r="AB166" s="1">
        <v>123.6</v>
      </c>
      <c r="AC166" s="1">
        <v>125.9</v>
      </c>
      <c r="AD166" s="1">
        <v>134.2</v>
      </c>
    </row>
    <row r="167" ht="14.25" customHeight="1">
      <c r="A167" s="1" t="s">
        <v>30</v>
      </c>
      <c r="B167" s="1">
        <v>2017.0</v>
      </c>
      <c r="C167" s="1" t="s">
        <v>41</v>
      </c>
      <c r="D167" s="1">
        <v>134.8</v>
      </c>
      <c r="E167" s="1">
        <v>143.1</v>
      </c>
      <c r="F167" s="1">
        <v>130.0</v>
      </c>
      <c r="G167" s="1">
        <v>139.4</v>
      </c>
      <c r="H167" s="1">
        <v>120.5</v>
      </c>
      <c r="I167" s="1">
        <v>148.0</v>
      </c>
      <c r="J167" s="1">
        <v>162.9</v>
      </c>
      <c r="K167" s="1">
        <v>137.4</v>
      </c>
      <c r="L167" s="1">
        <v>120.8</v>
      </c>
      <c r="M167" s="1">
        <v>134.7</v>
      </c>
      <c r="N167" s="1">
        <v>131.6</v>
      </c>
      <c r="O167" s="1">
        <v>148.7</v>
      </c>
      <c r="P167" s="1">
        <v>140.6</v>
      </c>
      <c r="Q167" s="1">
        <v>149.0</v>
      </c>
      <c r="R167" s="1">
        <v>145.3</v>
      </c>
      <c r="S167" s="1">
        <v>139.2</v>
      </c>
      <c r="T167" s="1">
        <v>144.5</v>
      </c>
      <c r="U167" s="1">
        <v>134.4</v>
      </c>
      <c r="V167" s="1">
        <v>136.4</v>
      </c>
      <c r="W167" s="1">
        <v>137.3</v>
      </c>
      <c r="X167" s="1">
        <v>133.0</v>
      </c>
      <c r="Y167" s="1">
        <v>120.3</v>
      </c>
      <c r="Z167" s="1">
        <v>131.5</v>
      </c>
      <c r="AA167" s="1">
        <v>140.2</v>
      </c>
      <c r="AB167" s="1">
        <v>125.4</v>
      </c>
      <c r="AC167" s="1">
        <v>129.7</v>
      </c>
      <c r="AD167" s="1">
        <v>137.8</v>
      </c>
    </row>
    <row r="168" ht="14.25" customHeight="1">
      <c r="A168" s="1" t="s">
        <v>33</v>
      </c>
      <c r="B168" s="1">
        <v>2017.0</v>
      </c>
      <c r="C168" s="1" t="s">
        <v>41</v>
      </c>
      <c r="D168" s="1">
        <v>133.2</v>
      </c>
      <c r="E168" s="1">
        <v>143.9</v>
      </c>
      <c r="F168" s="1">
        <v>128.3</v>
      </c>
      <c r="G168" s="1">
        <v>138.3</v>
      </c>
      <c r="H168" s="1">
        <v>114.1</v>
      </c>
      <c r="I168" s="1">
        <v>142.7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132.7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135.7</v>
      </c>
      <c r="AB168" s="1">
        <v>123.3</v>
      </c>
      <c r="AC168" s="1">
        <v>123.8</v>
      </c>
      <c r="AD168" s="1">
        <v>132.7</v>
      </c>
    </row>
    <row r="169" ht="14.25" customHeight="1">
      <c r="A169" s="1" t="s">
        <v>34</v>
      </c>
      <c r="B169" s="1">
        <v>2017.0</v>
      </c>
      <c r="C169" s="1" t="s">
        <v>41</v>
      </c>
      <c r="D169" s="1">
        <v>134.3</v>
      </c>
      <c r="E169" s="1">
        <v>143.4</v>
      </c>
      <c r="F169" s="1">
        <v>129.3</v>
      </c>
      <c r="G169" s="1">
        <v>139.0</v>
      </c>
      <c r="H169" s="1">
        <v>118.1</v>
      </c>
      <c r="I169" s="1">
        <v>145.5</v>
      </c>
      <c r="J169" s="1">
        <v>168.6</v>
      </c>
      <c r="K169" s="1">
        <v>132.7</v>
      </c>
      <c r="L169" s="1">
        <v>121.2</v>
      </c>
      <c r="M169" s="1">
        <v>135.6</v>
      </c>
      <c r="N169" s="1">
        <v>128.7</v>
      </c>
      <c r="O169" s="1">
        <v>146.8</v>
      </c>
      <c r="P169" s="1">
        <v>140.6</v>
      </c>
      <c r="Q169" s="1">
        <v>149.8</v>
      </c>
      <c r="R169" s="1">
        <v>140.3</v>
      </c>
      <c r="S169" s="1">
        <v>133.0</v>
      </c>
      <c r="T169" s="1">
        <v>139.3</v>
      </c>
      <c r="U169" s="1">
        <v>134.4</v>
      </c>
      <c r="V169" s="1">
        <v>129.8</v>
      </c>
      <c r="W169" s="1">
        <v>132.8</v>
      </c>
      <c r="X169" s="1">
        <v>130.2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ht="14.25" customHeight="1">
      <c r="A170" s="1" t="s">
        <v>30</v>
      </c>
      <c r="B170" s="1">
        <v>2017.0</v>
      </c>
      <c r="C170" s="1" t="s">
        <v>42</v>
      </c>
      <c r="D170" s="1">
        <v>135.2</v>
      </c>
      <c r="E170" s="1">
        <v>142.0</v>
      </c>
      <c r="F170" s="1">
        <v>130.5</v>
      </c>
      <c r="G170" s="1">
        <v>140.2</v>
      </c>
      <c r="H170" s="1">
        <v>120.7</v>
      </c>
      <c r="I170" s="1">
        <v>147.8</v>
      </c>
      <c r="J170" s="1">
        <v>154.5</v>
      </c>
      <c r="K170" s="1">
        <v>137.1</v>
      </c>
      <c r="L170" s="1">
        <v>121.0</v>
      </c>
      <c r="M170" s="1">
        <v>134.7</v>
      </c>
      <c r="N170" s="1">
        <v>131.7</v>
      </c>
      <c r="O170" s="1">
        <v>149.3</v>
      </c>
      <c r="P170" s="1">
        <v>139.6</v>
      </c>
      <c r="Q170" s="1">
        <v>149.8</v>
      </c>
      <c r="R170" s="1">
        <v>146.1</v>
      </c>
      <c r="S170" s="1">
        <v>139.7</v>
      </c>
      <c r="T170" s="1">
        <v>145.2</v>
      </c>
      <c r="U170" s="1">
        <v>135.7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</v>
      </c>
      <c r="AA170" s="1">
        <v>139.6</v>
      </c>
      <c r="AB170" s="1">
        <v>126.7</v>
      </c>
      <c r="AC170" s="1">
        <v>130.3</v>
      </c>
      <c r="AD170" s="1">
        <v>137.6</v>
      </c>
    </row>
    <row r="171" ht="14.25" customHeight="1">
      <c r="A171" s="1" t="s">
        <v>33</v>
      </c>
      <c r="B171" s="1">
        <v>2017.0</v>
      </c>
      <c r="C171" s="1" t="s">
        <v>42</v>
      </c>
      <c r="D171" s="1">
        <v>133.6</v>
      </c>
      <c r="E171" s="1">
        <v>143.0</v>
      </c>
      <c r="F171" s="1">
        <v>129.7</v>
      </c>
      <c r="G171" s="1">
        <v>138.7</v>
      </c>
      <c r="H171" s="1">
        <v>114.5</v>
      </c>
      <c r="I171" s="1">
        <v>137.5</v>
      </c>
      <c r="J171" s="1">
        <v>160.7</v>
      </c>
      <c r="K171" s="1">
        <v>124.5</v>
      </c>
      <c r="L171" s="1">
        <v>122.4</v>
      </c>
      <c r="M171" s="1">
        <v>137.3</v>
      </c>
      <c r="N171" s="1">
        <v>124.8</v>
      </c>
      <c r="O171" s="1">
        <v>145.0</v>
      </c>
      <c r="P171" s="1">
        <v>138.0</v>
      </c>
      <c r="Q171" s="1">
        <v>153.6</v>
      </c>
      <c r="R171" s="1">
        <v>133.3</v>
      </c>
      <c r="S171" s="1">
        <v>124.6</v>
      </c>
      <c r="T171" s="1">
        <v>132.0</v>
      </c>
      <c r="U171" s="1">
        <v>135.7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ht="14.25" customHeight="1">
      <c r="A172" s="1" t="s">
        <v>34</v>
      </c>
      <c r="B172" s="1">
        <v>2017.0</v>
      </c>
      <c r="C172" s="1" t="s">
        <v>42</v>
      </c>
      <c r="D172" s="1">
        <v>134.7</v>
      </c>
      <c r="E172" s="1">
        <v>142.4</v>
      </c>
      <c r="F172" s="1">
        <v>130.2</v>
      </c>
      <c r="G172" s="1">
        <v>139.6</v>
      </c>
      <c r="H172" s="1">
        <v>118.4</v>
      </c>
      <c r="I172" s="1">
        <v>143.0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</v>
      </c>
      <c r="O172" s="1">
        <v>147.3</v>
      </c>
      <c r="P172" s="1">
        <v>139.0</v>
      </c>
      <c r="Q172" s="1">
        <v>150.8</v>
      </c>
      <c r="R172" s="1">
        <v>141.1</v>
      </c>
      <c r="S172" s="1">
        <v>133.4</v>
      </c>
      <c r="T172" s="1">
        <v>140.0</v>
      </c>
      <c r="U172" s="1">
        <v>135.7</v>
      </c>
      <c r="V172" s="1">
        <v>131.0</v>
      </c>
      <c r="W172" s="1">
        <v>133.3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135.2</v>
      </c>
    </row>
    <row r="173" ht="14.25" customHeight="1">
      <c r="A173" s="1" t="s">
        <v>30</v>
      </c>
      <c r="B173" s="1">
        <v>2017.0</v>
      </c>
      <c r="C173" s="1" t="s">
        <v>43</v>
      </c>
      <c r="D173" s="1">
        <v>135.9</v>
      </c>
      <c r="E173" s="1">
        <v>141.9</v>
      </c>
      <c r="F173" s="1">
        <v>131.0</v>
      </c>
      <c r="G173" s="1">
        <v>141.5</v>
      </c>
      <c r="H173" s="1">
        <v>121.4</v>
      </c>
      <c r="I173" s="1">
        <v>146.7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</v>
      </c>
      <c r="O173" s="1">
        <v>150.3</v>
      </c>
      <c r="P173" s="1">
        <v>140.4</v>
      </c>
      <c r="Q173" s="1">
        <v>150.5</v>
      </c>
      <c r="R173" s="1">
        <v>147.2</v>
      </c>
      <c r="S173" s="1">
        <v>140.6</v>
      </c>
      <c r="T173" s="1">
        <v>146.2</v>
      </c>
      <c r="U173" s="1">
        <v>137.3</v>
      </c>
      <c r="V173" s="1">
        <v>138.1</v>
      </c>
      <c r="W173" s="1">
        <v>138.4</v>
      </c>
      <c r="X173" s="1">
        <v>134.2</v>
      </c>
      <c r="Y173" s="1">
        <v>121.0</v>
      </c>
      <c r="Z173" s="1">
        <v>133.0</v>
      </c>
      <c r="AA173" s="1">
        <v>140.1</v>
      </c>
      <c r="AB173" s="1">
        <v>127.4</v>
      </c>
      <c r="AC173" s="1">
        <v>130.7</v>
      </c>
      <c r="AD173" s="1">
        <v>138.3</v>
      </c>
    </row>
    <row r="174" ht="14.25" customHeight="1">
      <c r="A174" s="1" t="s">
        <v>33</v>
      </c>
      <c r="B174" s="1">
        <v>2017.0</v>
      </c>
      <c r="C174" s="1" t="s">
        <v>43</v>
      </c>
      <c r="D174" s="1">
        <v>133.9</v>
      </c>
      <c r="E174" s="1">
        <v>142.8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</v>
      </c>
      <c r="N174" s="1">
        <v>125.1</v>
      </c>
      <c r="O174" s="1">
        <v>145.5</v>
      </c>
      <c r="P174" s="1">
        <v>139.7</v>
      </c>
      <c r="Q174" s="1">
        <v>154.6</v>
      </c>
      <c r="R174" s="1">
        <v>134.0</v>
      </c>
      <c r="S174" s="1">
        <v>124.9</v>
      </c>
      <c r="T174" s="1">
        <v>132.6</v>
      </c>
      <c r="U174" s="1">
        <v>137.3</v>
      </c>
      <c r="V174" s="1">
        <v>122.6</v>
      </c>
      <c r="W174" s="1">
        <v>128.3</v>
      </c>
      <c r="X174" s="1">
        <v>126.6</v>
      </c>
      <c r="Y174" s="1">
        <v>115.0</v>
      </c>
      <c r="Z174" s="1">
        <v>124.8</v>
      </c>
      <c r="AA174" s="1">
        <v>136.3</v>
      </c>
      <c r="AB174" s="1">
        <v>124.6</v>
      </c>
      <c r="AC174" s="1">
        <v>124.5</v>
      </c>
      <c r="AD174" s="1">
        <v>133.5</v>
      </c>
    </row>
    <row r="175" ht="14.25" customHeight="1">
      <c r="A175" s="1" t="s">
        <v>34</v>
      </c>
      <c r="B175" s="1">
        <v>2017.0</v>
      </c>
      <c r="C175" s="1" t="s">
        <v>43</v>
      </c>
      <c r="D175" s="1">
        <v>135.3</v>
      </c>
      <c r="E175" s="1">
        <v>142.2</v>
      </c>
      <c r="F175" s="1">
        <v>131.2</v>
      </c>
      <c r="G175" s="1">
        <v>140.6</v>
      </c>
      <c r="H175" s="1">
        <v>119.0</v>
      </c>
      <c r="I175" s="1">
        <v>141.5</v>
      </c>
      <c r="J175" s="1">
        <v>162.6</v>
      </c>
      <c r="K175" s="1">
        <v>132.3</v>
      </c>
      <c r="L175" s="1">
        <v>121.8</v>
      </c>
      <c r="M175" s="1">
        <v>136.3</v>
      </c>
      <c r="N175" s="1">
        <v>128.7</v>
      </c>
      <c r="O175" s="1">
        <v>148.1</v>
      </c>
      <c r="P175" s="1">
        <v>140.1</v>
      </c>
      <c r="Q175" s="1">
        <v>151.6</v>
      </c>
      <c r="R175" s="1">
        <v>142.0</v>
      </c>
      <c r="S175" s="1">
        <v>134.1</v>
      </c>
      <c r="T175" s="1">
        <v>140.8</v>
      </c>
      <c r="U175" s="1">
        <v>137.3</v>
      </c>
      <c r="V175" s="1">
        <v>132.2</v>
      </c>
      <c r="W175" s="1">
        <v>133.6</v>
      </c>
      <c r="X175" s="1">
        <v>131.3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ht="14.25" customHeight="1">
      <c r="A176" s="1" t="s">
        <v>30</v>
      </c>
      <c r="B176" s="1">
        <v>2017.0</v>
      </c>
      <c r="C176" s="1" t="s">
        <v>45</v>
      </c>
      <c r="D176" s="1">
        <v>136.3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</v>
      </c>
      <c r="J176" s="1">
        <v>168.0</v>
      </c>
      <c r="K176" s="1">
        <v>135.8</v>
      </c>
      <c r="L176" s="1">
        <v>122.5</v>
      </c>
      <c r="M176" s="1">
        <v>136.0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148.2</v>
      </c>
      <c r="S176" s="1">
        <v>141.5</v>
      </c>
      <c r="T176" s="1">
        <v>147.3</v>
      </c>
      <c r="U176" s="1">
        <v>138.6</v>
      </c>
      <c r="V176" s="1">
        <v>141.1</v>
      </c>
      <c r="W176" s="1">
        <v>139.4</v>
      </c>
      <c r="X176" s="1">
        <v>135.8</v>
      </c>
      <c r="Y176" s="1">
        <v>121.6</v>
      </c>
      <c r="Z176" s="1">
        <v>133.7</v>
      </c>
      <c r="AA176" s="1">
        <v>141.5</v>
      </c>
      <c r="AB176" s="1">
        <v>128.1</v>
      </c>
      <c r="AC176" s="1">
        <v>131.7</v>
      </c>
      <c r="AD176" s="1">
        <v>140.0</v>
      </c>
    </row>
    <row r="177" ht="14.25" customHeight="1">
      <c r="A177" s="1" t="s">
        <v>33</v>
      </c>
      <c r="B177" s="1">
        <v>2017.0</v>
      </c>
      <c r="C177" s="1" t="s">
        <v>45</v>
      </c>
      <c r="D177" s="1">
        <v>134.3</v>
      </c>
      <c r="E177" s="1">
        <v>142.1</v>
      </c>
      <c r="F177" s="1">
        <v>146.7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</v>
      </c>
      <c r="N177" s="1">
        <v>125.4</v>
      </c>
      <c r="O177" s="1">
        <v>146.0</v>
      </c>
      <c r="P177" s="1">
        <v>141.5</v>
      </c>
      <c r="Q177" s="1">
        <v>156.2</v>
      </c>
      <c r="R177" s="1">
        <v>135.0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</v>
      </c>
    </row>
    <row r="178" ht="14.25" customHeight="1">
      <c r="A178" s="1" t="s">
        <v>34</v>
      </c>
      <c r="B178" s="1">
        <v>2017.0</v>
      </c>
      <c r="C178" s="1" t="s">
        <v>45</v>
      </c>
      <c r="D178" s="1">
        <v>135.7</v>
      </c>
      <c r="E178" s="1">
        <v>142.4</v>
      </c>
      <c r="F178" s="1">
        <v>142.9</v>
      </c>
      <c r="G178" s="1">
        <v>140.8</v>
      </c>
      <c r="H178" s="1">
        <v>119.2</v>
      </c>
      <c r="I178" s="1">
        <v>142.2</v>
      </c>
      <c r="J178" s="1">
        <v>173.8</v>
      </c>
      <c r="K178" s="1">
        <v>131.2</v>
      </c>
      <c r="L178" s="1">
        <v>123.0</v>
      </c>
      <c r="M178" s="1">
        <v>136.8</v>
      </c>
      <c r="N178" s="1">
        <v>129.2</v>
      </c>
      <c r="O178" s="1">
        <v>148.9</v>
      </c>
      <c r="P178" s="1">
        <v>142.1</v>
      </c>
      <c r="Q178" s="1">
        <v>153.2</v>
      </c>
      <c r="R178" s="1">
        <v>143.0</v>
      </c>
      <c r="S178" s="1">
        <v>134.8</v>
      </c>
      <c r="T178" s="1">
        <v>141.8</v>
      </c>
      <c r="U178" s="1">
        <v>138.6</v>
      </c>
      <c r="V178" s="1">
        <v>135.3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ht="14.25" customHeight="1">
      <c r="A179" s="1" t="s">
        <v>30</v>
      </c>
      <c r="B179" s="1">
        <v>2017.0</v>
      </c>
      <c r="C179" s="1" t="s">
        <v>46</v>
      </c>
      <c r="D179" s="1">
        <v>136.4</v>
      </c>
      <c r="E179" s="1">
        <v>143.7</v>
      </c>
      <c r="F179" s="1">
        <v>144.8</v>
      </c>
      <c r="G179" s="1">
        <v>141.9</v>
      </c>
      <c r="H179" s="1">
        <v>123.1</v>
      </c>
      <c r="I179" s="1">
        <v>147.2</v>
      </c>
      <c r="J179" s="1">
        <v>161.0</v>
      </c>
      <c r="K179" s="1">
        <v>133.8</v>
      </c>
      <c r="L179" s="1">
        <v>121.9</v>
      </c>
      <c r="M179" s="1">
        <v>135.8</v>
      </c>
      <c r="N179" s="1">
        <v>131.1</v>
      </c>
      <c r="O179" s="1">
        <v>151.4</v>
      </c>
      <c r="P179" s="1">
        <v>141.5</v>
      </c>
      <c r="Q179" s="1">
        <v>153.2</v>
      </c>
      <c r="R179" s="1">
        <v>148.0</v>
      </c>
      <c r="S179" s="1">
        <v>141.9</v>
      </c>
      <c r="T179" s="1">
        <v>147.2</v>
      </c>
      <c r="U179" s="1">
        <v>139.1</v>
      </c>
      <c r="V179" s="1">
        <v>142.6</v>
      </c>
      <c r="W179" s="1">
        <v>139.5</v>
      </c>
      <c r="X179" s="1">
        <v>136.1</v>
      </c>
      <c r="Y179" s="1">
        <v>122.0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</v>
      </c>
    </row>
    <row r="180" ht="14.25" customHeight="1">
      <c r="A180" s="1" t="s">
        <v>33</v>
      </c>
      <c r="B180" s="1">
        <v>2017.0</v>
      </c>
      <c r="C180" s="1" t="s">
        <v>46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135.0</v>
      </c>
      <c r="J180" s="1">
        <v>163.2</v>
      </c>
      <c r="K180" s="1">
        <v>119.8</v>
      </c>
      <c r="L180" s="1">
        <v>120.7</v>
      </c>
      <c r="M180" s="1">
        <v>139.7</v>
      </c>
      <c r="N180" s="1">
        <v>125.7</v>
      </c>
      <c r="O180" s="1">
        <v>146.3</v>
      </c>
      <c r="P180" s="1">
        <v>138.8</v>
      </c>
      <c r="Q180" s="1">
        <v>157.0</v>
      </c>
      <c r="R180" s="1">
        <v>135.6</v>
      </c>
      <c r="S180" s="1">
        <v>125.6</v>
      </c>
      <c r="T180" s="1">
        <v>134.0</v>
      </c>
      <c r="U180" s="1">
        <v>139.1</v>
      </c>
      <c r="V180" s="1">
        <v>126.8</v>
      </c>
      <c r="W180" s="1">
        <v>129.3</v>
      </c>
      <c r="X180" s="1">
        <v>128.2</v>
      </c>
      <c r="Y180" s="1">
        <v>115.3</v>
      </c>
      <c r="Z180" s="1">
        <v>125.6</v>
      </c>
      <c r="AA180" s="1">
        <v>136.7</v>
      </c>
      <c r="AB180" s="1">
        <v>124.6</v>
      </c>
      <c r="AC180" s="1">
        <v>125.1</v>
      </c>
      <c r="AD180" s="1">
        <v>134.1</v>
      </c>
    </row>
    <row r="181" ht="14.25" customHeight="1">
      <c r="A181" s="1" t="s">
        <v>34</v>
      </c>
      <c r="B181" s="1">
        <v>2017.0</v>
      </c>
      <c r="C181" s="1" t="s">
        <v>46</v>
      </c>
      <c r="D181" s="1">
        <v>135.8</v>
      </c>
      <c r="E181" s="1">
        <v>143.3</v>
      </c>
      <c r="F181" s="1">
        <v>145.2</v>
      </c>
      <c r="G181" s="1">
        <v>141.0</v>
      </c>
      <c r="H181" s="1">
        <v>120.5</v>
      </c>
      <c r="I181" s="1">
        <v>141.5</v>
      </c>
      <c r="J181" s="1">
        <v>161.7</v>
      </c>
      <c r="K181" s="1">
        <v>129.1</v>
      </c>
      <c r="L181" s="1">
        <v>121.5</v>
      </c>
      <c r="M181" s="1">
        <v>137.1</v>
      </c>
      <c r="N181" s="1">
        <v>128.8</v>
      </c>
      <c r="O181" s="1">
        <v>149.0</v>
      </c>
      <c r="P181" s="1">
        <v>140.5</v>
      </c>
      <c r="Q181" s="1">
        <v>154.2</v>
      </c>
      <c r="R181" s="1">
        <v>143.1</v>
      </c>
      <c r="S181" s="1">
        <v>135.1</v>
      </c>
      <c r="T181" s="1">
        <v>142.0</v>
      </c>
      <c r="U181" s="1">
        <v>139.1</v>
      </c>
      <c r="V181" s="1">
        <v>136.6</v>
      </c>
      <c r="W181" s="1">
        <v>134.7</v>
      </c>
      <c r="X181" s="1">
        <v>133.1</v>
      </c>
      <c r="Y181" s="1">
        <v>118.5</v>
      </c>
      <c r="Z181" s="1">
        <v>129.0</v>
      </c>
      <c r="AA181" s="1">
        <v>138.5</v>
      </c>
      <c r="AB181" s="1">
        <v>126.5</v>
      </c>
      <c r="AC181" s="1">
        <v>128.6</v>
      </c>
      <c r="AD181" s="1">
        <v>137.2</v>
      </c>
    </row>
    <row r="182" ht="14.25" customHeight="1">
      <c r="A182" s="1" t="s">
        <v>30</v>
      </c>
      <c r="B182" s="1">
        <v>2018.0</v>
      </c>
      <c r="C182" s="1" t="s">
        <v>31</v>
      </c>
      <c r="D182" s="1">
        <v>136.6</v>
      </c>
      <c r="E182" s="1">
        <v>144.4</v>
      </c>
      <c r="F182" s="1">
        <v>143.8</v>
      </c>
      <c r="G182" s="1">
        <v>142.0</v>
      </c>
      <c r="H182" s="1">
        <v>123.2</v>
      </c>
      <c r="I182" s="1">
        <v>147.9</v>
      </c>
      <c r="J182" s="1">
        <v>152.1</v>
      </c>
      <c r="K182" s="1">
        <v>131.8</v>
      </c>
      <c r="L182" s="1">
        <v>119.5</v>
      </c>
      <c r="M182" s="1">
        <v>136.0</v>
      </c>
      <c r="N182" s="1">
        <v>131.2</v>
      </c>
      <c r="O182" s="1">
        <v>151.8</v>
      </c>
      <c r="P182" s="1">
        <v>140.4</v>
      </c>
      <c r="Q182" s="1">
        <v>153.6</v>
      </c>
      <c r="R182" s="1">
        <v>148.3</v>
      </c>
      <c r="S182" s="1">
        <v>142.3</v>
      </c>
      <c r="T182" s="1">
        <v>147.5</v>
      </c>
      <c r="U182" s="1">
        <v>140.4</v>
      </c>
      <c r="V182" s="1">
        <v>142.3</v>
      </c>
      <c r="W182" s="1">
        <v>139.8</v>
      </c>
      <c r="X182" s="1">
        <v>136.0</v>
      </c>
      <c r="Y182" s="1">
        <v>122.7</v>
      </c>
      <c r="Z182" s="1">
        <v>134.3</v>
      </c>
      <c r="AA182" s="1">
        <v>141.6</v>
      </c>
      <c r="AB182" s="1">
        <v>128.6</v>
      </c>
      <c r="AC182" s="1">
        <v>132.3</v>
      </c>
      <c r="AD182" s="1">
        <v>139.3</v>
      </c>
    </row>
    <row r="183" ht="14.25" customHeight="1">
      <c r="A183" s="1" t="s">
        <v>33</v>
      </c>
      <c r="B183" s="1">
        <v>2018.0</v>
      </c>
      <c r="C183" s="1" t="s">
        <v>31</v>
      </c>
      <c r="D183" s="1">
        <v>134.6</v>
      </c>
      <c r="E183" s="1">
        <v>143.7</v>
      </c>
      <c r="F183" s="1">
        <v>143.6</v>
      </c>
      <c r="G183" s="1">
        <v>139.6</v>
      </c>
      <c r="H183" s="1">
        <v>116.4</v>
      </c>
      <c r="I183" s="1">
        <v>133.8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</v>
      </c>
      <c r="P183" s="1">
        <v>137.2</v>
      </c>
      <c r="Q183" s="1">
        <v>157.7</v>
      </c>
      <c r="R183" s="1">
        <v>136.0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129.0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ht="14.25" customHeight="1">
      <c r="A184" s="1" t="s">
        <v>34</v>
      </c>
      <c r="B184" s="1">
        <v>2018.0</v>
      </c>
      <c r="C184" s="1" t="s">
        <v>31</v>
      </c>
      <c r="D184" s="1">
        <v>136.0</v>
      </c>
      <c r="E184" s="1">
        <v>144.2</v>
      </c>
      <c r="F184" s="1">
        <v>143.7</v>
      </c>
      <c r="G184" s="1">
        <v>141.1</v>
      </c>
      <c r="H184" s="1">
        <v>120.7</v>
      </c>
      <c r="I184" s="1">
        <v>141.3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129.0</v>
      </c>
      <c r="O184" s="1">
        <v>149.5</v>
      </c>
      <c r="P184" s="1">
        <v>139.2</v>
      </c>
      <c r="Q184" s="1">
        <v>154.7</v>
      </c>
      <c r="R184" s="1">
        <v>143.5</v>
      </c>
      <c r="S184" s="1">
        <v>135.5</v>
      </c>
      <c r="T184" s="1">
        <v>142.3</v>
      </c>
      <c r="U184" s="1">
        <v>140.4</v>
      </c>
      <c r="V184" s="1">
        <v>136.6</v>
      </c>
      <c r="W184" s="1">
        <v>134.9</v>
      </c>
      <c r="X184" s="1">
        <v>133.3</v>
      </c>
      <c r="Y184" s="1">
        <v>119.3</v>
      </c>
      <c r="Z184" s="1">
        <v>129.7</v>
      </c>
      <c r="AA184" s="1">
        <v>139.0</v>
      </c>
      <c r="AB184" s="1">
        <v>127.3</v>
      </c>
      <c r="AC184" s="1">
        <v>129.1</v>
      </c>
      <c r="AD184" s="1">
        <v>136.9</v>
      </c>
    </row>
    <row r="185" ht="14.25" customHeight="1">
      <c r="A185" s="1" t="s">
        <v>30</v>
      </c>
      <c r="B185" s="1">
        <v>2018.0</v>
      </c>
      <c r="C185" s="1" t="s">
        <v>35</v>
      </c>
      <c r="D185" s="1">
        <v>136.4</v>
      </c>
      <c r="E185" s="1">
        <v>143.7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130.2</v>
      </c>
      <c r="L185" s="1">
        <v>117.9</v>
      </c>
      <c r="M185" s="1">
        <v>135.6</v>
      </c>
      <c r="N185" s="1">
        <v>130.5</v>
      </c>
      <c r="O185" s="1">
        <v>151.7</v>
      </c>
      <c r="P185" s="1">
        <v>138.7</v>
      </c>
      <c r="Q185" s="1">
        <v>153.3</v>
      </c>
      <c r="R185" s="1">
        <v>148.7</v>
      </c>
      <c r="S185" s="1">
        <v>142.4</v>
      </c>
      <c r="T185" s="1">
        <v>147.8</v>
      </c>
      <c r="U185" s="1">
        <v>141.3</v>
      </c>
      <c r="V185" s="1">
        <v>142.4</v>
      </c>
      <c r="W185" s="1">
        <v>139.9</v>
      </c>
      <c r="X185" s="1">
        <v>136.2</v>
      </c>
      <c r="Y185" s="1">
        <v>123.3</v>
      </c>
      <c r="Z185" s="1">
        <v>134.3</v>
      </c>
      <c r="AA185" s="1">
        <v>141.5</v>
      </c>
      <c r="AB185" s="1">
        <v>128.8</v>
      </c>
      <c r="AC185" s="1">
        <v>132.5</v>
      </c>
      <c r="AD185" s="1">
        <v>138.5</v>
      </c>
    </row>
    <row r="186" ht="14.25" customHeight="1">
      <c r="A186" s="1" t="s">
        <v>33</v>
      </c>
      <c r="B186" s="1">
        <v>2018.0</v>
      </c>
      <c r="C186" s="1" t="s">
        <v>35</v>
      </c>
      <c r="D186" s="1">
        <v>134.8</v>
      </c>
      <c r="E186" s="1">
        <v>143.0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117.0</v>
      </c>
      <c r="L186" s="1">
        <v>115.4</v>
      </c>
      <c r="M186" s="1">
        <v>140.7</v>
      </c>
      <c r="N186" s="1">
        <v>125.9</v>
      </c>
      <c r="O186" s="1">
        <v>147.1</v>
      </c>
      <c r="P186" s="1">
        <v>135.6</v>
      </c>
      <c r="Q186" s="1">
        <v>159.3</v>
      </c>
      <c r="R186" s="1">
        <v>136.3</v>
      </c>
      <c r="S186" s="1">
        <v>126.1</v>
      </c>
      <c r="T186" s="1">
        <v>134.7</v>
      </c>
      <c r="U186" s="1">
        <v>141.3</v>
      </c>
      <c r="V186" s="1">
        <v>127.3</v>
      </c>
      <c r="W186" s="1">
        <v>129.9</v>
      </c>
      <c r="X186" s="1">
        <v>129.8</v>
      </c>
      <c r="Y186" s="1">
        <v>117.4</v>
      </c>
      <c r="Z186" s="1">
        <v>126.5</v>
      </c>
      <c r="AA186" s="1">
        <v>137.2</v>
      </c>
      <c r="AB186" s="1">
        <v>126.2</v>
      </c>
      <c r="AC186" s="1">
        <v>126.5</v>
      </c>
      <c r="AD186" s="1">
        <v>134.0</v>
      </c>
    </row>
    <row r="187" ht="14.25" customHeight="1">
      <c r="A187" s="1" t="s">
        <v>34</v>
      </c>
      <c r="B187" s="1">
        <v>2018.0</v>
      </c>
      <c r="C187" s="1" t="s">
        <v>35</v>
      </c>
      <c r="D187" s="1">
        <v>135.9</v>
      </c>
      <c r="E187" s="1">
        <v>143.5</v>
      </c>
      <c r="F187" s="1">
        <v>140.3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</v>
      </c>
      <c r="S187" s="1">
        <v>135.6</v>
      </c>
      <c r="T187" s="1">
        <v>142.6</v>
      </c>
      <c r="U187" s="1">
        <v>141.3</v>
      </c>
      <c r="V187" s="1">
        <v>136.7</v>
      </c>
      <c r="W187" s="1">
        <v>135.2</v>
      </c>
      <c r="X187" s="1">
        <v>133.8</v>
      </c>
      <c r="Y187" s="1">
        <v>120.2</v>
      </c>
      <c r="Z187" s="1">
        <v>129.9</v>
      </c>
      <c r="AA187" s="1">
        <v>139.0</v>
      </c>
      <c r="AB187" s="1">
        <v>127.7</v>
      </c>
      <c r="AC187" s="1">
        <v>129.6</v>
      </c>
      <c r="AD187" s="1">
        <v>136.4</v>
      </c>
    </row>
    <row r="188" ht="14.25" customHeight="1">
      <c r="A188" s="1" t="s">
        <v>30</v>
      </c>
      <c r="B188" s="1">
        <v>2018.0</v>
      </c>
      <c r="C188" s="1" t="s">
        <v>36</v>
      </c>
      <c r="D188" s="1">
        <v>136.8</v>
      </c>
      <c r="E188" s="1">
        <v>143.8</v>
      </c>
      <c r="F188" s="1">
        <v>140.0</v>
      </c>
      <c r="G188" s="1">
        <v>142.0</v>
      </c>
      <c r="H188" s="1">
        <v>123.2</v>
      </c>
      <c r="I188" s="1">
        <v>152.9</v>
      </c>
      <c r="J188" s="1">
        <v>138.0</v>
      </c>
      <c r="K188" s="1">
        <v>129.3</v>
      </c>
      <c r="L188" s="1">
        <v>117.1</v>
      </c>
      <c r="M188" s="1">
        <v>136.3</v>
      </c>
      <c r="N188" s="1">
        <v>131.2</v>
      </c>
      <c r="O188" s="1">
        <v>152.8</v>
      </c>
      <c r="P188" s="1">
        <v>138.6</v>
      </c>
      <c r="Q188" s="1">
        <v>155.1</v>
      </c>
      <c r="R188" s="1">
        <v>149.2</v>
      </c>
      <c r="S188" s="1">
        <v>143.0</v>
      </c>
      <c r="T188" s="1">
        <v>148.3</v>
      </c>
      <c r="U188" s="1">
        <v>142.0</v>
      </c>
      <c r="V188" s="1">
        <v>142.6</v>
      </c>
      <c r="W188" s="1">
        <v>139.9</v>
      </c>
      <c r="X188" s="1">
        <v>136.7</v>
      </c>
      <c r="Y188" s="1">
        <v>124.6</v>
      </c>
      <c r="Z188" s="1">
        <v>135.1</v>
      </c>
      <c r="AA188" s="1">
        <v>142.7</v>
      </c>
      <c r="AB188" s="1">
        <v>129.3</v>
      </c>
      <c r="AC188" s="1">
        <v>133.3</v>
      </c>
      <c r="AD188" s="1">
        <v>138.7</v>
      </c>
    </row>
    <row r="189" ht="14.25" customHeight="1">
      <c r="A189" s="1" t="s">
        <v>33</v>
      </c>
      <c r="B189" s="1">
        <v>2018.0</v>
      </c>
      <c r="C189" s="1" t="s">
        <v>36</v>
      </c>
      <c r="D189" s="1">
        <v>135.0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128.0</v>
      </c>
      <c r="K189" s="1">
        <v>115.5</v>
      </c>
      <c r="L189" s="1">
        <v>114.2</v>
      </c>
      <c r="M189" s="1">
        <v>140.7</v>
      </c>
      <c r="N189" s="1">
        <v>126.2</v>
      </c>
      <c r="O189" s="1">
        <v>147.6</v>
      </c>
      <c r="P189" s="1">
        <v>134.8</v>
      </c>
      <c r="Q189" s="1">
        <v>159.7</v>
      </c>
      <c r="R189" s="1">
        <v>136.7</v>
      </c>
      <c r="S189" s="1">
        <v>126.7</v>
      </c>
      <c r="T189" s="1">
        <v>135.2</v>
      </c>
      <c r="U189" s="1">
        <v>142.0</v>
      </c>
      <c r="V189" s="1">
        <v>126.4</v>
      </c>
      <c r="W189" s="1">
        <v>130.8</v>
      </c>
      <c r="X189" s="1">
        <v>130.5</v>
      </c>
      <c r="Y189" s="1">
        <v>117.8</v>
      </c>
      <c r="Z189" s="1">
        <v>126.8</v>
      </c>
      <c r="AA189" s="1">
        <v>137.8</v>
      </c>
      <c r="AB189" s="1">
        <v>126.7</v>
      </c>
      <c r="AC189" s="1">
        <v>127.1</v>
      </c>
      <c r="AD189" s="1">
        <v>134.0</v>
      </c>
    </row>
    <row r="190" ht="14.25" customHeight="1">
      <c r="A190" s="1" t="s">
        <v>34</v>
      </c>
      <c r="B190" s="1">
        <v>2018.0</v>
      </c>
      <c r="C190" s="1" t="s">
        <v>36</v>
      </c>
      <c r="D190" s="1">
        <v>136.2</v>
      </c>
      <c r="E190" s="1">
        <v>143.6</v>
      </c>
      <c r="F190" s="1">
        <v>138.3</v>
      </c>
      <c r="G190" s="1">
        <v>141.2</v>
      </c>
      <c r="H190" s="1">
        <v>120.7</v>
      </c>
      <c r="I190" s="1">
        <v>146.2</v>
      </c>
      <c r="J190" s="1">
        <v>134.6</v>
      </c>
      <c r="K190" s="1">
        <v>124.6</v>
      </c>
      <c r="L190" s="1">
        <v>116.1</v>
      </c>
      <c r="M190" s="1">
        <v>137.8</v>
      </c>
      <c r="N190" s="1">
        <v>129.1</v>
      </c>
      <c r="O190" s="1">
        <v>150.4</v>
      </c>
      <c r="P190" s="1">
        <v>137.2</v>
      </c>
      <c r="Q190" s="1">
        <v>156.3</v>
      </c>
      <c r="R190" s="1">
        <v>144.3</v>
      </c>
      <c r="S190" s="1">
        <v>136.2</v>
      </c>
      <c r="T190" s="1">
        <v>143.1</v>
      </c>
      <c r="U190" s="1">
        <v>142.0</v>
      </c>
      <c r="V190" s="1">
        <v>136.5</v>
      </c>
      <c r="W190" s="1">
        <v>135.6</v>
      </c>
      <c r="X190" s="1">
        <v>134.3</v>
      </c>
      <c r="Y190" s="1">
        <v>121.0</v>
      </c>
      <c r="Z190" s="1">
        <v>130.4</v>
      </c>
      <c r="AA190" s="1">
        <v>139.8</v>
      </c>
      <c r="AB190" s="1">
        <v>128.2</v>
      </c>
      <c r="AC190" s="1">
        <v>130.3</v>
      </c>
      <c r="AD190" s="1">
        <v>136.5</v>
      </c>
    </row>
    <row r="191" ht="14.25" customHeight="1">
      <c r="A191" s="1" t="s">
        <v>30</v>
      </c>
      <c r="B191" s="1">
        <v>2018.0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137.2</v>
      </c>
      <c r="N191" s="1">
        <v>131.9</v>
      </c>
      <c r="O191" s="1">
        <v>153.8</v>
      </c>
      <c r="P191" s="1">
        <v>138.6</v>
      </c>
      <c r="Q191" s="1">
        <v>156.1</v>
      </c>
      <c r="R191" s="1">
        <v>150.1</v>
      </c>
      <c r="S191" s="1">
        <v>143.3</v>
      </c>
      <c r="T191" s="1">
        <v>149.1</v>
      </c>
      <c r="U191" s="1">
        <v>142.9</v>
      </c>
      <c r="V191" s="1">
        <v>143.8</v>
      </c>
      <c r="W191" s="1">
        <v>140.9</v>
      </c>
      <c r="X191" s="1">
        <v>137.6</v>
      </c>
      <c r="Y191" s="1">
        <v>125.3</v>
      </c>
      <c r="Z191" s="1">
        <v>136.0</v>
      </c>
      <c r="AA191" s="1">
        <v>143.7</v>
      </c>
      <c r="AB191" s="1">
        <v>130.4</v>
      </c>
      <c r="AC191" s="1">
        <v>134.2</v>
      </c>
      <c r="AD191" s="1">
        <v>139.1</v>
      </c>
    </row>
    <row r="192" ht="14.25" customHeight="1">
      <c r="A192" s="1" t="s">
        <v>33</v>
      </c>
      <c r="B192" s="1">
        <v>2018.0</v>
      </c>
      <c r="C192" s="1" t="s">
        <v>37</v>
      </c>
      <c r="D192" s="1">
        <v>135.0</v>
      </c>
      <c r="E192" s="1">
        <v>144.3</v>
      </c>
      <c r="F192" s="1">
        <v>130.8</v>
      </c>
      <c r="G192" s="1">
        <v>140.3</v>
      </c>
      <c r="H192" s="1">
        <v>116.6</v>
      </c>
      <c r="I192" s="1">
        <v>150.1</v>
      </c>
      <c r="J192" s="1">
        <v>127.6</v>
      </c>
      <c r="K192" s="1">
        <v>114.0</v>
      </c>
      <c r="L192" s="1">
        <v>110.6</v>
      </c>
      <c r="M192" s="1">
        <v>140.2</v>
      </c>
      <c r="N192" s="1">
        <v>126.5</v>
      </c>
      <c r="O192" s="1">
        <v>148.3</v>
      </c>
      <c r="P192" s="1">
        <v>135.7</v>
      </c>
      <c r="Q192" s="1">
        <v>159.2</v>
      </c>
      <c r="R192" s="1">
        <v>137.8</v>
      </c>
      <c r="S192" s="1">
        <v>127.4</v>
      </c>
      <c r="T192" s="1">
        <v>136.2</v>
      </c>
      <c r="U192" s="1">
        <v>142.9</v>
      </c>
      <c r="V192" s="1">
        <v>124.6</v>
      </c>
      <c r="W192" s="1">
        <v>131.8</v>
      </c>
      <c r="X192" s="1">
        <v>131.3</v>
      </c>
      <c r="Y192" s="1">
        <v>118.9</v>
      </c>
      <c r="Z192" s="1">
        <v>127.6</v>
      </c>
      <c r="AA192" s="1">
        <v>139.7</v>
      </c>
      <c r="AB192" s="1">
        <v>127.6</v>
      </c>
      <c r="AC192" s="1">
        <v>128.2</v>
      </c>
      <c r="AD192" s="1">
        <v>134.8</v>
      </c>
    </row>
    <row r="193" ht="14.25" customHeight="1">
      <c r="A193" s="1" t="s">
        <v>34</v>
      </c>
      <c r="B193" s="1">
        <v>2018.0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121.0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138.2</v>
      </c>
      <c r="N193" s="1">
        <v>129.6</v>
      </c>
      <c r="O193" s="1">
        <v>151.2</v>
      </c>
      <c r="P193" s="1">
        <v>137.5</v>
      </c>
      <c r="Q193" s="1">
        <v>156.9</v>
      </c>
      <c r="R193" s="1">
        <v>145.3</v>
      </c>
      <c r="S193" s="1">
        <v>136.7</v>
      </c>
      <c r="T193" s="1">
        <v>144.0</v>
      </c>
      <c r="U193" s="1">
        <v>142.9</v>
      </c>
      <c r="V193" s="1">
        <v>136.5</v>
      </c>
      <c r="W193" s="1">
        <v>136.6</v>
      </c>
      <c r="X193" s="1">
        <v>135.2</v>
      </c>
      <c r="Y193" s="1">
        <v>121.9</v>
      </c>
      <c r="Z193" s="1">
        <v>131.3</v>
      </c>
      <c r="AA193" s="1">
        <v>141.4</v>
      </c>
      <c r="AB193" s="1">
        <v>129.2</v>
      </c>
      <c r="AC193" s="1">
        <v>131.3</v>
      </c>
      <c r="AD193" s="1">
        <v>137.1</v>
      </c>
    </row>
    <row r="194" ht="14.25" customHeight="1">
      <c r="A194" s="1" t="s">
        <v>30</v>
      </c>
      <c r="B194" s="1">
        <v>2018.0</v>
      </c>
      <c r="C194" s="1" t="s">
        <v>38</v>
      </c>
      <c r="D194" s="1">
        <v>137.4</v>
      </c>
      <c r="E194" s="1">
        <v>145.7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</v>
      </c>
      <c r="K194" s="1">
        <v>127.2</v>
      </c>
      <c r="L194" s="1">
        <v>111.8</v>
      </c>
      <c r="M194" s="1">
        <v>137.4</v>
      </c>
      <c r="N194" s="1">
        <v>132.2</v>
      </c>
      <c r="O194" s="1">
        <v>154.3</v>
      </c>
      <c r="P194" s="1">
        <v>139.1</v>
      </c>
      <c r="Q194" s="1">
        <v>157.0</v>
      </c>
      <c r="R194" s="1">
        <v>150.8</v>
      </c>
      <c r="S194" s="1">
        <v>144.1</v>
      </c>
      <c r="T194" s="1">
        <v>149.8</v>
      </c>
      <c r="U194" s="1">
        <v>143.2</v>
      </c>
      <c r="V194" s="1">
        <v>144.3</v>
      </c>
      <c r="W194" s="1">
        <v>141.8</v>
      </c>
      <c r="X194" s="1">
        <v>138.4</v>
      </c>
      <c r="Y194" s="1">
        <v>126.4</v>
      </c>
      <c r="Z194" s="1">
        <v>136.8</v>
      </c>
      <c r="AA194" s="1">
        <v>144.4</v>
      </c>
      <c r="AB194" s="1">
        <v>131.2</v>
      </c>
      <c r="AC194" s="1">
        <v>135.1</v>
      </c>
      <c r="AD194" s="1">
        <v>139.8</v>
      </c>
    </row>
    <row r="195" ht="14.25" customHeight="1">
      <c r="A195" s="1" t="s">
        <v>33</v>
      </c>
      <c r="B195" s="1">
        <v>2018.0</v>
      </c>
      <c r="C195" s="1" t="s">
        <v>38</v>
      </c>
      <c r="D195" s="1">
        <v>135.0</v>
      </c>
      <c r="E195" s="1">
        <v>148.2</v>
      </c>
      <c r="F195" s="1">
        <v>130.5</v>
      </c>
      <c r="G195" s="1">
        <v>140.7</v>
      </c>
      <c r="H195" s="1">
        <v>116.4</v>
      </c>
      <c r="I195" s="1">
        <v>151.3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148.7</v>
      </c>
      <c r="P195" s="1">
        <v>136.4</v>
      </c>
      <c r="Q195" s="1">
        <v>160.3</v>
      </c>
      <c r="R195" s="1">
        <v>138.6</v>
      </c>
      <c r="S195" s="1">
        <v>127.9</v>
      </c>
      <c r="T195" s="1">
        <v>137.0</v>
      </c>
      <c r="U195" s="1">
        <v>143.2</v>
      </c>
      <c r="V195" s="1">
        <v>124.7</v>
      </c>
      <c r="W195" s="1">
        <v>132.5</v>
      </c>
      <c r="X195" s="1">
        <v>132.0</v>
      </c>
      <c r="Y195" s="1">
        <v>119.8</v>
      </c>
      <c r="Z195" s="1">
        <v>128.0</v>
      </c>
      <c r="AA195" s="1">
        <v>140.4</v>
      </c>
      <c r="AB195" s="1">
        <v>128.1</v>
      </c>
      <c r="AC195" s="1">
        <v>128.9</v>
      </c>
      <c r="AD195" s="1">
        <v>135.4</v>
      </c>
    </row>
    <row r="196" ht="14.25" customHeight="1">
      <c r="A196" s="1" t="s">
        <v>34</v>
      </c>
      <c r="B196" s="1">
        <v>2018.0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121.0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151.7</v>
      </c>
      <c r="P196" s="1">
        <v>138.1</v>
      </c>
      <c r="Q196" s="1">
        <v>157.9</v>
      </c>
      <c r="R196" s="1">
        <v>146.0</v>
      </c>
      <c r="S196" s="1">
        <v>137.4</v>
      </c>
      <c r="T196" s="1">
        <v>144.7</v>
      </c>
      <c r="U196" s="1">
        <v>143.2</v>
      </c>
      <c r="V196" s="1">
        <v>136.9</v>
      </c>
      <c r="W196" s="1">
        <v>137.4</v>
      </c>
      <c r="X196" s="1">
        <v>136.0</v>
      </c>
      <c r="Y196" s="1">
        <v>122.9</v>
      </c>
      <c r="Z196" s="1">
        <v>131.8</v>
      </c>
      <c r="AA196" s="1">
        <v>142.1</v>
      </c>
      <c r="AB196" s="1">
        <v>129.9</v>
      </c>
      <c r="AC196" s="1">
        <v>132.1</v>
      </c>
      <c r="AD196" s="1">
        <v>137.8</v>
      </c>
    </row>
    <row r="197" ht="14.25" customHeight="1">
      <c r="A197" s="1" t="s">
        <v>30</v>
      </c>
      <c r="B197" s="1">
        <v>2018.0</v>
      </c>
      <c r="C197" s="1" t="s">
        <v>39</v>
      </c>
      <c r="D197" s="1">
        <v>137.6</v>
      </c>
      <c r="E197" s="1">
        <v>148.1</v>
      </c>
      <c r="F197" s="1">
        <v>136.7</v>
      </c>
      <c r="G197" s="1">
        <v>143.2</v>
      </c>
      <c r="H197" s="1">
        <v>124.0</v>
      </c>
      <c r="I197" s="1">
        <v>154.1</v>
      </c>
      <c r="J197" s="1">
        <v>143.5</v>
      </c>
      <c r="K197" s="1">
        <v>126.0</v>
      </c>
      <c r="L197" s="1">
        <v>112.4</v>
      </c>
      <c r="M197" s="1">
        <v>137.6</v>
      </c>
      <c r="N197" s="1">
        <v>132.8</v>
      </c>
      <c r="O197" s="1">
        <v>154.3</v>
      </c>
      <c r="P197" s="1">
        <v>140.0</v>
      </c>
      <c r="Q197" s="1">
        <v>157.3</v>
      </c>
      <c r="R197" s="1">
        <v>151.3</v>
      </c>
      <c r="S197" s="1">
        <v>144.7</v>
      </c>
      <c r="T197" s="1">
        <v>150.3</v>
      </c>
      <c r="U197" s="1">
        <v>142.5</v>
      </c>
      <c r="V197" s="1">
        <v>145.1</v>
      </c>
      <c r="W197" s="1">
        <v>142.2</v>
      </c>
      <c r="X197" s="1">
        <v>138.4</v>
      </c>
      <c r="Y197" s="1">
        <v>127.4</v>
      </c>
      <c r="Z197" s="1">
        <v>137.8</v>
      </c>
      <c r="AA197" s="1">
        <v>145.1</v>
      </c>
      <c r="AB197" s="1">
        <v>131.4</v>
      </c>
      <c r="AC197" s="1">
        <v>135.6</v>
      </c>
      <c r="AD197" s="1">
        <v>140.5</v>
      </c>
    </row>
    <row r="198" ht="14.25" customHeight="1">
      <c r="A198" s="1" t="s">
        <v>33</v>
      </c>
      <c r="B198" s="1">
        <v>2018.0</v>
      </c>
      <c r="C198" s="1" t="s">
        <v>39</v>
      </c>
      <c r="D198" s="1">
        <v>135.3</v>
      </c>
      <c r="E198" s="1">
        <v>149.7</v>
      </c>
      <c r="F198" s="1">
        <v>133.9</v>
      </c>
      <c r="G198" s="1">
        <v>140.8</v>
      </c>
      <c r="H198" s="1">
        <v>116.6</v>
      </c>
      <c r="I198" s="1">
        <v>152.2</v>
      </c>
      <c r="J198" s="1">
        <v>144.0</v>
      </c>
      <c r="K198" s="1">
        <v>112.3</v>
      </c>
      <c r="L198" s="1">
        <v>108.4</v>
      </c>
      <c r="M198" s="1">
        <v>140.0</v>
      </c>
      <c r="N198" s="1">
        <v>126.7</v>
      </c>
      <c r="O198" s="1">
        <v>149.0</v>
      </c>
      <c r="P198" s="1">
        <v>138.4</v>
      </c>
      <c r="Q198" s="1">
        <v>161.0</v>
      </c>
      <c r="R198" s="1">
        <v>138.9</v>
      </c>
      <c r="S198" s="1">
        <v>128.7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141.2</v>
      </c>
      <c r="AB198" s="1">
        <v>128.2</v>
      </c>
      <c r="AC198" s="1">
        <v>129.5</v>
      </c>
      <c r="AD198" s="1">
        <v>136.2</v>
      </c>
    </row>
    <row r="199" ht="14.25" customHeight="1">
      <c r="A199" s="1" t="s">
        <v>34</v>
      </c>
      <c r="B199" s="1">
        <v>2018.0</v>
      </c>
      <c r="C199" s="1" t="s">
        <v>39</v>
      </c>
      <c r="D199" s="1">
        <v>136.9</v>
      </c>
      <c r="E199" s="1">
        <v>148.7</v>
      </c>
      <c r="F199" s="1">
        <v>135.6</v>
      </c>
      <c r="G199" s="1">
        <v>142.3</v>
      </c>
      <c r="H199" s="1">
        <v>121.3</v>
      </c>
      <c r="I199" s="1">
        <v>153.2</v>
      </c>
      <c r="J199" s="1">
        <v>143.7</v>
      </c>
      <c r="K199" s="1">
        <v>121.4</v>
      </c>
      <c r="L199" s="1">
        <v>111.1</v>
      </c>
      <c r="M199" s="1">
        <v>138.4</v>
      </c>
      <c r="N199" s="1">
        <v>130.3</v>
      </c>
      <c r="O199" s="1">
        <v>151.8</v>
      </c>
      <c r="P199" s="1">
        <v>139.4</v>
      </c>
      <c r="Q199" s="1">
        <v>158.3</v>
      </c>
      <c r="R199" s="1">
        <v>146.4</v>
      </c>
      <c r="S199" s="1">
        <v>138.1</v>
      </c>
      <c r="T199" s="1">
        <v>145.2</v>
      </c>
      <c r="U199" s="1">
        <v>142.5</v>
      </c>
      <c r="V199" s="1">
        <v>138.1</v>
      </c>
      <c r="W199" s="1">
        <v>137.9</v>
      </c>
      <c r="X199" s="1">
        <v>136.2</v>
      </c>
      <c r="Y199" s="1">
        <v>123.7</v>
      </c>
      <c r="Z199" s="1">
        <v>132.6</v>
      </c>
      <c r="AA199" s="1">
        <v>142.8</v>
      </c>
      <c r="AB199" s="1">
        <v>130.1</v>
      </c>
      <c r="AC199" s="1">
        <v>132.6</v>
      </c>
      <c r="AD199" s="1">
        <v>138.5</v>
      </c>
    </row>
    <row r="200" ht="14.25" customHeight="1">
      <c r="A200" s="1" t="s">
        <v>30</v>
      </c>
      <c r="B200" s="1">
        <v>2018.0</v>
      </c>
      <c r="C200" s="1" t="s">
        <v>40</v>
      </c>
      <c r="D200" s="1">
        <v>138.4</v>
      </c>
      <c r="E200" s="1">
        <v>149.3</v>
      </c>
      <c r="F200" s="1">
        <v>139.3</v>
      </c>
      <c r="G200" s="1">
        <v>143.4</v>
      </c>
      <c r="H200" s="1">
        <v>124.1</v>
      </c>
      <c r="I200" s="1">
        <v>153.3</v>
      </c>
      <c r="J200" s="1">
        <v>154.2</v>
      </c>
      <c r="K200" s="1">
        <v>126.4</v>
      </c>
      <c r="L200" s="1">
        <v>114.3</v>
      </c>
      <c r="M200" s="1">
        <v>138.2</v>
      </c>
      <c r="N200" s="1">
        <v>132.8</v>
      </c>
      <c r="O200" s="1">
        <v>154.8</v>
      </c>
      <c r="P200" s="1">
        <v>142.0</v>
      </c>
      <c r="Q200" s="1">
        <v>156.1</v>
      </c>
      <c r="R200" s="1">
        <v>151.5</v>
      </c>
      <c r="S200" s="1">
        <v>145.1</v>
      </c>
      <c r="T200" s="1">
        <v>150.6</v>
      </c>
      <c r="U200" s="1">
        <v>143.6</v>
      </c>
      <c r="V200" s="1">
        <v>146.8</v>
      </c>
      <c r="W200" s="1">
        <v>143.1</v>
      </c>
      <c r="X200" s="1">
        <v>139.0</v>
      </c>
      <c r="Y200" s="1">
        <v>127.5</v>
      </c>
      <c r="Z200" s="1">
        <v>138.4</v>
      </c>
      <c r="AA200" s="1">
        <v>145.8</v>
      </c>
      <c r="AB200" s="1">
        <v>131.4</v>
      </c>
      <c r="AC200" s="1">
        <v>136.0</v>
      </c>
      <c r="AD200" s="1">
        <v>141.8</v>
      </c>
    </row>
    <row r="201" ht="14.25" customHeight="1">
      <c r="A201" s="1" t="s">
        <v>33</v>
      </c>
      <c r="B201" s="1">
        <v>2018.0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141.0</v>
      </c>
      <c r="H201" s="1">
        <v>116.7</v>
      </c>
      <c r="I201" s="1">
        <v>149.7</v>
      </c>
      <c r="J201" s="1">
        <v>159.2</v>
      </c>
      <c r="K201" s="1">
        <v>112.6</v>
      </c>
      <c r="L201" s="1">
        <v>111.8</v>
      </c>
      <c r="M201" s="1">
        <v>140.3</v>
      </c>
      <c r="N201" s="1">
        <v>126.8</v>
      </c>
      <c r="O201" s="1">
        <v>149.4</v>
      </c>
      <c r="P201" s="1">
        <v>140.3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129.0</v>
      </c>
      <c r="AA201" s="1">
        <v>144.0</v>
      </c>
      <c r="AB201" s="1">
        <v>128.2</v>
      </c>
      <c r="AC201" s="1">
        <v>130.2</v>
      </c>
      <c r="AD201" s="1">
        <v>137.5</v>
      </c>
    </row>
    <row r="202" ht="14.25" customHeight="1">
      <c r="A202" s="1" t="s">
        <v>34</v>
      </c>
      <c r="B202" s="1">
        <v>2018.0</v>
      </c>
      <c r="C202" s="1" t="s">
        <v>40</v>
      </c>
      <c r="D202" s="1">
        <v>137.5</v>
      </c>
      <c r="E202" s="1">
        <v>149.1</v>
      </c>
      <c r="F202" s="1">
        <v>139.2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</v>
      </c>
      <c r="O202" s="1">
        <v>152.3</v>
      </c>
      <c r="P202" s="1">
        <v>141.4</v>
      </c>
      <c r="Q202" s="1">
        <v>157.5</v>
      </c>
      <c r="R202" s="1">
        <v>146.8</v>
      </c>
      <c r="S202" s="1">
        <v>138.4</v>
      </c>
      <c r="T202" s="1">
        <v>145.6</v>
      </c>
      <c r="U202" s="1">
        <v>143.6</v>
      </c>
      <c r="V202" s="1">
        <v>139.7</v>
      </c>
      <c r="W202" s="1">
        <v>138.6</v>
      </c>
      <c r="X202" s="1">
        <v>137.0</v>
      </c>
      <c r="Y202" s="1">
        <v>123.6</v>
      </c>
      <c r="Z202" s="1">
        <v>133.1</v>
      </c>
      <c r="AA202" s="1">
        <v>144.7</v>
      </c>
      <c r="AB202" s="1">
        <v>130.1</v>
      </c>
      <c r="AC202" s="1">
        <v>133.2</v>
      </c>
      <c r="AD202" s="1">
        <v>139.8</v>
      </c>
    </row>
    <row r="203" ht="14.25" customHeight="1">
      <c r="A203" s="1" t="s">
        <v>30</v>
      </c>
      <c r="B203" s="1">
        <v>2018.0</v>
      </c>
      <c r="C203" s="1" t="s">
        <v>41</v>
      </c>
      <c r="D203" s="1">
        <v>139.2</v>
      </c>
      <c r="E203" s="1">
        <v>148.8</v>
      </c>
      <c r="F203" s="1">
        <v>139.1</v>
      </c>
      <c r="G203" s="1">
        <v>143.5</v>
      </c>
      <c r="H203" s="1">
        <v>125.0</v>
      </c>
      <c r="I203" s="1">
        <v>154.4</v>
      </c>
      <c r="J203" s="1">
        <v>156.3</v>
      </c>
      <c r="K203" s="1">
        <v>126.8</v>
      </c>
      <c r="L203" s="1">
        <v>115.4</v>
      </c>
      <c r="M203" s="1">
        <v>138.6</v>
      </c>
      <c r="N203" s="1">
        <v>133.8</v>
      </c>
      <c r="O203" s="1">
        <v>155.2</v>
      </c>
      <c r="P203" s="1">
        <v>142.7</v>
      </c>
      <c r="Q203" s="1">
        <v>156.4</v>
      </c>
      <c r="R203" s="1">
        <v>152.1</v>
      </c>
      <c r="S203" s="1">
        <v>145.8</v>
      </c>
      <c r="T203" s="1">
        <v>151.3</v>
      </c>
      <c r="U203" s="1">
        <v>144.6</v>
      </c>
      <c r="V203" s="1">
        <v>147.7</v>
      </c>
      <c r="W203" s="1">
        <v>143.8</v>
      </c>
      <c r="X203" s="1">
        <v>139.4</v>
      </c>
      <c r="Y203" s="1">
        <v>128.3</v>
      </c>
      <c r="Z203" s="1">
        <v>138.6</v>
      </c>
      <c r="AA203" s="1">
        <v>146.9</v>
      </c>
      <c r="AB203" s="1">
        <v>131.3</v>
      </c>
      <c r="AC203" s="1">
        <v>136.6</v>
      </c>
      <c r="AD203" s="1">
        <v>142.5</v>
      </c>
    </row>
    <row r="204" ht="14.25" customHeight="1">
      <c r="A204" s="1" t="s">
        <v>33</v>
      </c>
      <c r="B204" s="1">
        <v>2018.0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141.2</v>
      </c>
      <c r="H204" s="1">
        <v>117.4</v>
      </c>
      <c r="I204" s="1">
        <v>146.3</v>
      </c>
      <c r="J204" s="1">
        <v>157.3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140.0</v>
      </c>
      <c r="S204" s="1">
        <v>129.0</v>
      </c>
      <c r="T204" s="1">
        <v>138.3</v>
      </c>
      <c r="U204" s="1">
        <v>144.6</v>
      </c>
      <c r="V204" s="1">
        <v>129.8</v>
      </c>
      <c r="W204" s="1">
        <v>134.4</v>
      </c>
      <c r="X204" s="1">
        <v>134.9</v>
      </c>
      <c r="Y204" s="1">
        <v>120.7</v>
      </c>
      <c r="Z204" s="1">
        <v>129.8</v>
      </c>
      <c r="AA204" s="1">
        <v>145.3</v>
      </c>
      <c r="AB204" s="1">
        <v>128.3</v>
      </c>
      <c r="AC204" s="1">
        <v>131.0</v>
      </c>
      <c r="AD204" s="1">
        <v>138.0</v>
      </c>
    </row>
    <row r="205" ht="14.25" customHeight="1">
      <c r="A205" s="1" t="s">
        <v>34</v>
      </c>
      <c r="B205" s="1">
        <v>2018.0</v>
      </c>
      <c r="C205" s="1" t="s">
        <v>41</v>
      </c>
      <c r="D205" s="1">
        <v>138.3</v>
      </c>
      <c r="E205" s="1">
        <v>148.0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153.0</v>
      </c>
      <c r="P205" s="1">
        <v>141.7</v>
      </c>
      <c r="Q205" s="1">
        <v>157.9</v>
      </c>
      <c r="R205" s="1">
        <v>147.3</v>
      </c>
      <c r="S205" s="1">
        <v>138.8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137.7</v>
      </c>
      <c r="Y205" s="1">
        <v>124.3</v>
      </c>
      <c r="Z205" s="1">
        <v>133.6</v>
      </c>
      <c r="AA205" s="1">
        <v>146.0</v>
      </c>
      <c r="AB205" s="1">
        <v>130.1</v>
      </c>
      <c r="AC205" s="1">
        <v>133.9</v>
      </c>
      <c r="AD205" s="1">
        <v>140.4</v>
      </c>
    </row>
    <row r="206" ht="14.25" customHeight="1">
      <c r="A206" s="1" t="s">
        <v>30</v>
      </c>
      <c r="B206" s="1">
        <v>2018.0</v>
      </c>
      <c r="C206" s="1" t="s">
        <v>42</v>
      </c>
      <c r="D206" s="1">
        <v>139.4</v>
      </c>
      <c r="E206" s="1">
        <v>147.2</v>
      </c>
      <c r="F206" s="1">
        <v>136.6</v>
      </c>
      <c r="G206" s="1">
        <v>143.7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138.7</v>
      </c>
      <c r="N206" s="1">
        <v>133.1</v>
      </c>
      <c r="O206" s="1">
        <v>155.9</v>
      </c>
      <c r="P206" s="1">
        <v>141.3</v>
      </c>
      <c r="Q206" s="1">
        <v>157.7</v>
      </c>
      <c r="R206" s="1">
        <v>152.1</v>
      </c>
      <c r="S206" s="1">
        <v>146.1</v>
      </c>
      <c r="T206" s="1">
        <v>151.3</v>
      </c>
      <c r="U206" s="1">
        <v>145.3</v>
      </c>
      <c r="V206" s="1">
        <v>149.0</v>
      </c>
      <c r="W206" s="1">
        <v>144.0</v>
      </c>
      <c r="X206" s="1">
        <v>140.0</v>
      </c>
      <c r="Y206" s="1">
        <v>129.9</v>
      </c>
      <c r="Z206" s="1">
        <v>140.0</v>
      </c>
      <c r="AA206" s="1">
        <v>147.6</v>
      </c>
      <c r="AB206" s="1">
        <v>132.0</v>
      </c>
      <c r="AC206" s="1">
        <v>137.4</v>
      </c>
      <c r="AD206" s="1">
        <v>142.1</v>
      </c>
    </row>
    <row r="207" ht="14.25" customHeight="1">
      <c r="A207" s="1" t="s">
        <v>33</v>
      </c>
      <c r="B207" s="1">
        <v>2018.0</v>
      </c>
      <c r="C207" s="1" t="s">
        <v>42</v>
      </c>
      <c r="D207" s="1">
        <v>137.0</v>
      </c>
      <c r="E207" s="1">
        <v>143.1</v>
      </c>
      <c r="F207" s="1">
        <v>132.8</v>
      </c>
      <c r="G207" s="1">
        <v>141.5</v>
      </c>
      <c r="H207" s="1">
        <v>117.8</v>
      </c>
      <c r="I207" s="1">
        <v>140.0</v>
      </c>
      <c r="J207" s="1">
        <v>151.3</v>
      </c>
      <c r="K207" s="1">
        <v>113.5</v>
      </c>
      <c r="L207" s="1">
        <v>112.3</v>
      </c>
      <c r="M207" s="1">
        <v>141.2</v>
      </c>
      <c r="N207" s="1">
        <v>127.7</v>
      </c>
      <c r="O207" s="1">
        <v>151.3</v>
      </c>
      <c r="P207" s="1">
        <v>138.9</v>
      </c>
      <c r="Q207" s="1">
        <v>163.3</v>
      </c>
      <c r="R207" s="1">
        <v>140.8</v>
      </c>
      <c r="S207" s="1">
        <v>129.3</v>
      </c>
      <c r="T207" s="1">
        <v>139.1</v>
      </c>
      <c r="U207" s="1">
        <v>145.3</v>
      </c>
      <c r="V207" s="1">
        <v>131.2</v>
      </c>
      <c r="W207" s="1">
        <v>134.9</v>
      </c>
      <c r="X207" s="1">
        <v>135.7</v>
      </c>
      <c r="Y207" s="1">
        <v>122.5</v>
      </c>
      <c r="Z207" s="1">
        <v>130.2</v>
      </c>
      <c r="AA207" s="1">
        <v>145.2</v>
      </c>
      <c r="AB207" s="1">
        <v>129.3</v>
      </c>
      <c r="AC207" s="1">
        <v>131.9</v>
      </c>
      <c r="AD207" s="1">
        <v>138.1</v>
      </c>
    </row>
    <row r="208" ht="14.25" customHeight="1">
      <c r="A208" s="1" t="s">
        <v>34</v>
      </c>
      <c r="B208" s="1">
        <v>2018.0</v>
      </c>
      <c r="C208" s="1" t="s">
        <v>42</v>
      </c>
      <c r="D208" s="1">
        <v>138.6</v>
      </c>
      <c r="E208" s="1">
        <v>145.8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150.0</v>
      </c>
      <c r="K208" s="1">
        <v>121.4</v>
      </c>
      <c r="L208" s="1">
        <v>113.7</v>
      </c>
      <c r="M208" s="1">
        <v>139.5</v>
      </c>
      <c r="N208" s="1">
        <v>130.8</v>
      </c>
      <c r="O208" s="1">
        <v>153.8</v>
      </c>
      <c r="P208" s="1">
        <v>140.4</v>
      </c>
      <c r="Q208" s="1">
        <v>159.2</v>
      </c>
      <c r="R208" s="1">
        <v>147.7</v>
      </c>
      <c r="S208" s="1">
        <v>139.1</v>
      </c>
      <c r="T208" s="1">
        <v>146.5</v>
      </c>
      <c r="U208" s="1">
        <v>145.3</v>
      </c>
      <c r="V208" s="1">
        <v>142.3</v>
      </c>
      <c r="W208" s="1">
        <v>139.7</v>
      </c>
      <c r="X208" s="1">
        <v>138.4</v>
      </c>
      <c r="Y208" s="1">
        <v>126.0</v>
      </c>
      <c r="Z208" s="1">
        <v>134.5</v>
      </c>
      <c r="AA208" s="1">
        <v>146.2</v>
      </c>
      <c r="AB208" s="1">
        <v>130.9</v>
      </c>
      <c r="AC208" s="1">
        <v>134.7</v>
      </c>
      <c r="AD208" s="1">
        <v>140.2</v>
      </c>
    </row>
    <row r="209" ht="14.25" customHeight="1">
      <c r="A209" s="1" t="s">
        <v>30</v>
      </c>
      <c r="B209" s="1">
        <v>2018.0</v>
      </c>
      <c r="C209" s="1" t="s">
        <v>43</v>
      </c>
      <c r="D209" s="1">
        <v>139.3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155.2</v>
      </c>
      <c r="P209" s="1">
        <v>140.2</v>
      </c>
      <c r="Q209" s="1">
        <v>159.6</v>
      </c>
      <c r="R209" s="1">
        <v>150.7</v>
      </c>
      <c r="S209" s="1">
        <v>144.5</v>
      </c>
      <c r="T209" s="1">
        <v>149.8</v>
      </c>
      <c r="U209" s="1">
        <v>146.3</v>
      </c>
      <c r="V209" s="1">
        <v>149.7</v>
      </c>
      <c r="W209" s="1">
        <v>147.5</v>
      </c>
      <c r="X209" s="1">
        <v>144.8</v>
      </c>
      <c r="Y209" s="1">
        <v>130.8</v>
      </c>
      <c r="Z209" s="1">
        <v>140.1</v>
      </c>
      <c r="AA209" s="1">
        <v>148.0</v>
      </c>
      <c r="AB209" s="1">
        <v>134.4</v>
      </c>
      <c r="AC209" s="1">
        <v>139.8</v>
      </c>
      <c r="AD209" s="1">
        <v>142.2</v>
      </c>
    </row>
    <row r="210" ht="14.25" customHeight="1">
      <c r="A210" s="1" t="s">
        <v>33</v>
      </c>
      <c r="B210" s="1">
        <v>2018.0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118.0</v>
      </c>
      <c r="I210" s="1">
        <v>139.5</v>
      </c>
      <c r="J210" s="1">
        <v>153.0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152.0</v>
      </c>
      <c r="P210" s="1">
        <v>139.4</v>
      </c>
      <c r="Q210" s="1">
        <v>164.0</v>
      </c>
      <c r="R210" s="1">
        <v>141.5</v>
      </c>
      <c r="S210" s="1">
        <v>129.8</v>
      </c>
      <c r="T210" s="1">
        <v>139.7</v>
      </c>
      <c r="U210" s="1">
        <v>146.3</v>
      </c>
      <c r="V210" s="1">
        <v>133.4</v>
      </c>
      <c r="W210" s="1">
        <v>135.1</v>
      </c>
      <c r="X210" s="1">
        <v>136.2</v>
      </c>
      <c r="Y210" s="1">
        <v>123.3</v>
      </c>
      <c r="Z210" s="1">
        <v>130.7</v>
      </c>
      <c r="AA210" s="1">
        <v>145.5</v>
      </c>
      <c r="AB210" s="1">
        <v>130.4</v>
      </c>
      <c r="AC210" s="1">
        <v>132.5</v>
      </c>
      <c r="AD210" s="1">
        <v>138.9</v>
      </c>
    </row>
    <row r="211" ht="14.25" customHeight="1">
      <c r="A211" s="1" t="s">
        <v>34</v>
      </c>
      <c r="B211" s="1">
        <v>2018.0</v>
      </c>
      <c r="C211" s="1" t="s">
        <v>43</v>
      </c>
      <c r="D211" s="1">
        <v>137.4</v>
      </c>
      <c r="E211" s="1">
        <v>149.5</v>
      </c>
      <c r="F211" s="1">
        <v>137.3</v>
      </c>
      <c r="G211" s="1">
        <v>141.9</v>
      </c>
      <c r="H211" s="1">
        <v>121.1</v>
      </c>
      <c r="I211" s="1">
        <v>142.5</v>
      </c>
      <c r="J211" s="1">
        <v>146.7</v>
      </c>
      <c r="K211" s="1">
        <v>119.1</v>
      </c>
      <c r="L211" s="1">
        <v>111.9</v>
      </c>
      <c r="M211" s="1">
        <v>141.0</v>
      </c>
      <c r="N211" s="1">
        <v>133.6</v>
      </c>
      <c r="O211" s="1">
        <v>154.5</v>
      </c>
      <c r="P211" s="1">
        <v>139.7</v>
      </c>
      <c r="Q211" s="1">
        <v>162.6</v>
      </c>
      <c r="R211" s="1">
        <v>148.0</v>
      </c>
      <c r="S211" s="1">
        <v>139.2</v>
      </c>
      <c r="T211" s="1">
        <v>146.8</v>
      </c>
      <c r="U211" s="1">
        <v>146.9</v>
      </c>
      <c r="V211" s="1">
        <v>145.3</v>
      </c>
      <c r="W211" s="1">
        <v>142.2</v>
      </c>
      <c r="X211" s="1">
        <v>142.1</v>
      </c>
      <c r="Y211" s="1">
        <v>125.5</v>
      </c>
      <c r="Z211" s="1">
        <v>136.5</v>
      </c>
      <c r="AA211" s="1">
        <v>147.8</v>
      </c>
      <c r="AB211" s="1">
        <v>132.0</v>
      </c>
      <c r="AC211" s="1">
        <v>136.3</v>
      </c>
      <c r="AD211" s="1">
        <v>140.8</v>
      </c>
    </row>
    <row r="212" ht="14.25" customHeight="1">
      <c r="A212" s="1" t="s">
        <v>30</v>
      </c>
      <c r="B212" s="1">
        <v>2018.0</v>
      </c>
      <c r="C212" s="1" t="s">
        <v>45</v>
      </c>
      <c r="D212" s="1">
        <v>137.1</v>
      </c>
      <c r="E212" s="1">
        <v>150.8</v>
      </c>
      <c r="F212" s="1">
        <v>136.7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121.0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140.0</v>
      </c>
      <c r="Q212" s="1">
        <v>161.9</v>
      </c>
      <c r="R212" s="1">
        <v>151.7</v>
      </c>
      <c r="S212" s="1">
        <v>145.5</v>
      </c>
      <c r="T212" s="1">
        <v>150.8</v>
      </c>
      <c r="U212" s="1">
        <v>146.9</v>
      </c>
      <c r="V212" s="1">
        <v>150.3</v>
      </c>
      <c r="W212" s="1">
        <v>148.0</v>
      </c>
      <c r="X212" s="1">
        <v>145.4</v>
      </c>
      <c r="Y212" s="1">
        <v>130.3</v>
      </c>
      <c r="Z212" s="1">
        <v>143.1</v>
      </c>
      <c r="AA212" s="1">
        <v>150.2</v>
      </c>
      <c r="AB212" s="1">
        <v>133.1</v>
      </c>
      <c r="AC212" s="1">
        <v>140.1</v>
      </c>
      <c r="AD212" s="1">
        <v>142.4</v>
      </c>
    </row>
    <row r="213" ht="14.25" customHeight="1">
      <c r="A213" s="1" t="s">
        <v>33</v>
      </c>
      <c r="B213" s="1">
        <v>2018.0</v>
      </c>
      <c r="C213" s="1" t="s">
        <v>45</v>
      </c>
      <c r="D213" s="1">
        <v>138.1</v>
      </c>
      <c r="E213" s="1">
        <v>146.3</v>
      </c>
      <c r="F213" s="1">
        <v>137.8</v>
      </c>
      <c r="G213" s="1">
        <v>141.6</v>
      </c>
      <c r="H213" s="1">
        <v>118.1</v>
      </c>
      <c r="I213" s="1">
        <v>141.5</v>
      </c>
      <c r="J213" s="1">
        <v>145.2</v>
      </c>
      <c r="K213" s="1">
        <v>115.3</v>
      </c>
      <c r="L213" s="1">
        <v>112.5</v>
      </c>
      <c r="M213" s="1">
        <v>141.4</v>
      </c>
      <c r="N213" s="1">
        <v>128.0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130.2</v>
      </c>
      <c r="T213" s="1">
        <v>140.5</v>
      </c>
      <c r="U213" s="1">
        <v>146.9</v>
      </c>
      <c r="V213" s="1">
        <v>136.7</v>
      </c>
      <c r="W213" s="1">
        <v>135.8</v>
      </c>
      <c r="X213" s="1">
        <v>136.8</v>
      </c>
      <c r="Y213" s="1">
        <v>121.2</v>
      </c>
      <c r="Z213" s="1">
        <v>131.3</v>
      </c>
      <c r="AA213" s="1">
        <v>146.1</v>
      </c>
      <c r="AB213" s="1">
        <v>130.5</v>
      </c>
      <c r="AC213" s="1">
        <v>132.2</v>
      </c>
      <c r="AD213" s="1">
        <v>139.0</v>
      </c>
    </row>
    <row r="214" ht="14.25" customHeight="1">
      <c r="A214" s="1" t="s">
        <v>34</v>
      </c>
      <c r="B214" s="1">
        <v>2018.0</v>
      </c>
      <c r="C214" s="1" t="s">
        <v>45</v>
      </c>
      <c r="D214" s="1">
        <v>137.4</v>
      </c>
      <c r="E214" s="1">
        <v>149.2</v>
      </c>
      <c r="F214" s="1">
        <v>137.1</v>
      </c>
      <c r="G214" s="1">
        <v>141.8</v>
      </c>
      <c r="H214" s="1">
        <v>121.1</v>
      </c>
      <c r="I214" s="1">
        <v>142.8</v>
      </c>
      <c r="J214" s="1">
        <v>146.7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139.7</v>
      </c>
      <c r="Q214" s="1">
        <v>162.6</v>
      </c>
      <c r="R214" s="1">
        <v>148.0</v>
      </c>
      <c r="S214" s="1">
        <v>139.1</v>
      </c>
      <c r="T214" s="1">
        <v>146.7</v>
      </c>
      <c r="U214" s="1">
        <v>146.9</v>
      </c>
      <c r="V214" s="1">
        <v>145.1</v>
      </c>
      <c r="W214" s="1">
        <v>142.2</v>
      </c>
      <c r="X214" s="1">
        <v>142.1</v>
      </c>
      <c r="Y214" s="1">
        <v>125.5</v>
      </c>
      <c r="Z214" s="1">
        <v>136.5</v>
      </c>
      <c r="AA214" s="1">
        <v>147.8</v>
      </c>
      <c r="AB214" s="1">
        <v>132.0</v>
      </c>
      <c r="AC214" s="1">
        <v>136.3</v>
      </c>
      <c r="AD214" s="1">
        <v>140.8</v>
      </c>
    </row>
    <row r="215" ht="14.25" customHeight="1">
      <c r="A215" s="1" t="s">
        <v>30</v>
      </c>
      <c r="B215" s="1">
        <v>2018.0</v>
      </c>
      <c r="C215" s="1" t="s">
        <v>46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140.2</v>
      </c>
      <c r="J215" s="1">
        <v>136.6</v>
      </c>
      <c r="K215" s="1">
        <v>120.9</v>
      </c>
      <c r="L215" s="1">
        <v>109.9</v>
      </c>
      <c r="M215" s="1">
        <v>140.2</v>
      </c>
      <c r="N215" s="1">
        <v>137.8</v>
      </c>
      <c r="O215" s="1">
        <v>156.0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</v>
      </c>
      <c r="U215" s="1">
        <v>146.5</v>
      </c>
      <c r="V215" s="1">
        <v>149.0</v>
      </c>
      <c r="W215" s="1">
        <v>149.5</v>
      </c>
      <c r="X215" s="1">
        <v>149.6</v>
      </c>
      <c r="Y215" s="1">
        <v>128.9</v>
      </c>
      <c r="Z215" s="1">
        <v>143.3</v>
      </c>
      <c r="AA215" s="1">
        <v>155.1</v>
      </c>
      <c r="AB215" s="1">
        <v>133.2</v>
      </c>
      <c r="AC215" s="1">
        <v>141.6</v>
      </c>
      <c r="AD215" s="1">
        <v>141.9</v>
      </c>
    </row>
    <row r="216" ht="14.25" customHeight="1">
      <c r="A216" s="1" t="s">
        <v>33</v>
      </c>
      <c r="B216" s="1">
        <v>2018.0</v>
      </c>
      <c r="C216" s="1" t="s">
        <v>46</v>
      </c>
      <c r="D216" s="1">
        <v>138.5</v>
      </c>
      <c r="E216" s="1">
        <v>147.8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111.0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142.7</v>
      </c>
      <c r="S216" s="1">
        <v>130.3</v>
      </c>
      <c r="T216" s="1">
        <v>140.8</v>
      </c>
      <c r="U216" s="1">
        <v>146.5</v>
      </c>
      <c r="V216" s="1">
        <v>132.4</v>
      </c>
      <c r="W216" s="1">
        <v>136.2</v>
      </c>
      <c r="X216" s="1">
        <v>137.3</v>
      </c>
      <c r="Y216" s="1">
        <v>118.8</v>
      </c>
      <c r="Z216" s="1">
        <v>131.7</v>
      </c>
      <c r="AA216" s="1">
        <v>146.5</v>
      </c>
      <c r="AB216" s="1">
        <v>130.8</v>
      </c>
      <c r="AC216" s="1">
        <v>131.7</v>
      </c>
      <c r="AD216" s="1">
        <v>138.0</v>
      </c>
    </row>
    <row r="217" ht="14.25" customHeight="1">
      <c r="A217" s="1" t="s">
        <v>34</v>
      </c>
      <c r="B217" s="1">
        <v>2018.0</v>
      </c>
      <c r="C217" s="1" t="s">
        <v>46</v>
      </c>
      <c r="D217" s="1">
        <v>137.5</v>
      </c>
      <c r="E217" s="1">
        <v>150.5</v>
      </c>
      <c r="F217" s="1">
        <v>138.8</v>
      </c>
      <c r="G217" s="1">
        <v>142.1</v>
      </c>
      <c r="H217" s="1">
        <v>122.0</v>
      </c>
      <c r="I217" s="1">
        <v>139.4</v>
      </c>
      <c r="J217" s="1">
        <v>135.2</v>
      </c>
      <c r="K217" s="1">
        <v>119.8</v>
      </c>
      <c r="L217" s="1">
        <v>110.3</v>
      </c>
      <c r="M217" s="1">
        <v>140.6</v>
      </c>
      <c r="N217" s="1">
        <v>133.8</v>
      </c>
      <c r="O217" s="1">
        <v>154.6</v>
      </c>
      <c r="P217" s="1">
        <v>138.2</v>
      </c>
      <c r="Q217" s="1">
        <v>163.0</v>
      </c>
      <c r="R217" s="1">
        <v>148.1</v>
      </c>
      <c r="S217" s="1">
        <v>139.4</v>
      </c>
      <c r="T217" s="1">
        <v>146.8</v>
      </c>
      <c r="U217" s="1">
        <v>146.5</v>
      </c>
      <c r="V217" s="1">
        <v>142.7</v>
      </c>
      <c r="W217" s="1">
        <v>143.2</v>
      </c>
      <c r="X217" s="1">
        <v>144.9</v>
      </c>
      <c r="Y217" s="1">
        <v>123.6</v>
      </c>
      <c r="Z217" s="1">
        <v>136.8</v>
      </c>
      <c r="AA217" s="1">
        <v>150.1</v>
      </c>
      <c r="AB217" s="1">
        <v>132.2</v>
      </c>
      <c r="AC217" s="1">
        <v>136.8</v>
      </c>
      <c r="AD217" s="1">
        <v>140.1</v>
      </c>
    </row>
    <row r="218" ht="14.25" customHeight="1">
      <c r="A218" s="1" t="s">
        <v>30</v>
      </c>
      <c r="B218" s="1">
        <v>2019.0</v>
      </c>
      <c r="C218" s="1" t="s">
        <v>31</v>
      </c>
      <c r="D218" s="1">
        <v>136.6</v>
      </c>
      <c r="E218" s="1">
        <v>152.5</v>
      </c>
      <c r="F218" s="1">
        <v>138.2</v>
      </c>
      <c r="G218" s="1">
        <v>142.4</v>
      </c>
      <c r="H218" s="1">
        <v>123.9</v>
      </c>
      <c r="I218" s="1">
        <v>135.5</v>
      </c>
      <c r="J218" s="1">
        <v>131.7</v>
      </c>
      <c r="K218" s="1">
        <v>121.3</v>
      </c>
      <c r="L218" s="1">
        <v>108.4</v>
      </c>
      <c r="M218" s="1">
        <v>138.9</v>
      </c>
      <c r="N218" s="1">
        <v>137.0</v>
      </c>
      <c r="O218" s="1">
        <v>155.8</v>
      </c>
      <c r="P218" s="1">
        <v>137.4</v>
      </c>
      <c r="Q218" s="1">
        <v>162.7</v>
      </c>
      <c r="R218" s="1">
        <v>150.6</v>
      </c>
      <c r="S218" s="1">
        <v>145.1</v>
      </c>
      <c r="T218" s="1">
        <v>149.9</v>
      </c>
      <c r="U218" s="1">
        <v>147.7</v>
      </c>
      <c r="V218" s="1">
        <v>146.2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155.2</v>
      </c>
      <c r="AB218" s="1">
        <v>133.5</v>
      </c>
      <c r="AC218" s="1">
        <v>141.7</v>
      </c>
      <c r="AD218" s="1">
        <v>141.0</v>
      </c>
    </row>
    <row r="219" ht="14.25" customHeight="1">
      <c r="A219" s="1" t="s">
        <v>33</v>
      </c>
      <c r="B219" s="1">
        <v>2019.0</v>
      </c>
      <c r="C219" s="1" t="s">
        <v>31</v>
      </c>
      <c r="D219" s="1">
        <v>138.3</v>
      </c>
      <c r="E219" s="1">
        <v>149.4</v>
      </c>
      <c r="F219" s="1">
        <v>143.5</v>
      </c>
      <c r="G219" s="1">
        <v>141.7</v>
      </c>
      <c r="H219" s="1">
        <v>118.1</v>
      </c>
      <c r="I219" s="1">
        <v>135.2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153.2</v>
      </c>
      <c r="P219" s="1">
        <v>137.3</v>
      </c>
      <c r="Q219" s="1">
        <v>164.7</v>
      </c>
      <c r="R219" s="1">
        <v>143.0</v>
      </c>
      <c r="S219" s="1">
        <v>130.4</v>
      </c>
      <c r="T219" s="1">
        <v>141.1</v>
      </c>
      <c r="U219" s="1">
        <v>147.7</v>
      </c>
      <c r="V219" s="1">
        <v>128.6</v>
      </c>
      <c r="W219" s="1">
        <v>136.3</v>
      </c>
      <c r="X219" s="1">
        <v>137.8</v>
      </c>
      <c r="Y219" s="1">
        <v>118.6</v>
      </c>
      <c r="Z219" s="1">
        <v>131.9</v>
      </c>
      <c r="AA219" s="1">
        <v>146.6</v>
      </c>
      <c r="AB219" s="1">
        <v>131.7</v>
      </c>
      <c r="AC219" s="1">
        <v>131.8</v>
      </c>
      <c r="AD219" s="1">
        <v>138.0</v>
      </c>
    </row>
    <row r="220" ht="14.25" customHeight="1">
      <c r="A220" s="1" t="s">
        <v>34</v>
      </c>
      <c r="B220" s="1">
        <v>2019.0</v>
      </c>
      <c r="C220" s="1" t="s">
        <v>31</v>
      </c>
      <c r="D220" s="1">
        <v>137.1</v>
      </c>
      <c r="E220" s="1">
        <v>151.4</v>
      </c>
      <c r="F220" s="1">
        <v>140.2</v>
      </c>
      <c r="G220" s="1">
        <v>142.1</v>
      </c>
      <c r="H220" s="1">
        <v>121.8</v>
      </c>
      <c r="I220" s="1">
        <v>135.4</v>
      </c>
      <c r="J220" s="1">
        <v>131.3</v>
      </c>
      <c r="K220" s="1">
        <v>120.3</v>
      </c>
      <c r="L220" s="1">
        <v>109.1</v>
      </c>
      <c r="M220" s="1">
        <v>139.4</v>
      </c>
      <c r="N220" s="1">
        <v>133.3</v>
      </c>
      <c r="O220" s="1">
        <v>154.6</v>
      </c>
      <c r="P220" s="1">
        <v>137.4</v>
      </c>
      <c r="Q220" s="1">
        <v>163.2</v>
      </c>
      <c r="R220" s="1">
        <v>147.6</v>
      </c>
      <c r="S220" s="1">
        <v>139.0</v>
      </c>
      <c r="T220" s="1">
        <v>146.4</v>
      </c>
      <c r="U220" s="1">
        <v>147.7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136.7</v>
      </c>
      <c r="AA220" s="1">
        <v>150.2</v>
      </c>
      <c r="AB220" s="1">
        <v>132.8</v>
      </c>
      <c r="AC220" s="1">
        <v>136.9</v>
      </c>
      <c r="AD220" s="1">
        <v>139.6</v>
      </c>
    </row>
    <row r="221" ht="14.25" customHeight="1">
      <c r="A221" s="1" t="s">
        <v>30</v>
      </c>
      <c r="B221" s="1">
        <v>2019.0</v>
      </c>
      <c r="C221" s="1" t="s">
        <v>35</v>
      </c>
      <c r="D221" s="1">
        <v>136.8</v>
      </c>
      <c r="E221" s="1">
        <v>153.0</v>
      </c>
      <c r="F221" s="1">
        <v>139.1</v>
      </c>
      <c r="G221" s="1">
        <v>142.5</v>
      </c>
      <c r="H221" s="1">
        <v>124.1</v>
      </c>
      <c r="I221" s="1">
        <v>135.8</v>
      </c>
      <c r="J221" s="1">
        <v>128.7</v>
      </c>
      <c r="K221" s="1">
        <v>121.5</v>
      </c>
      <c r="L221" s="1">
        <v>108.3</v>
      </c>
      <c r="M221" s="1">
        <v>139.2</v>
      </c>
      <c r="N221" s="1">
        <v>137.4</v>
      </c>
      <c r="O221" s="1">
        <v>156.2</v>
      </c>
      <c r="P221" s="1">
        <v>137.2</v>
      </c>
      <c r="Q221" s="1">
        <v>162.8</v>
      </c>
      <c r="R221" s="1">
        <v>150.5</v>
      </c>
      <c r="S221" s="1">
        <v>146.1</v>
      </c>
      <c r="T221" s="1">
        <v>149.9</v>
      </c>
      <c r="U221" s="1">
        <v>148.5</v>
      </c>
      <c r="V221" s="1">
        <v>145.3</v>
      </c>
      <c r="W221" s="1">
        <v>150.1</v>
      </c>
      <c r="X221" s="1">
        <v>149.9</v>
      </c>
      <c r="Y221" s="1">
        <v>129.2</v>
      </c>
      <c r="Z221" s="1">
        <v>143.4</v>
      </c>
      <c r="AA221" s="1">
        <v>155.5</v>
      </c>
      <c r="AB221" s="1">
        <v>134.9</v>
      </c>
      <c r="AC221" s="1">
        <v>142.2</v>
      </c>
      <c r="AD221" s="1">
        <v>141.0</v>
      </c>
    </row>
    <row r="222" ht="14.25" customHeight="1">
      <c r="A222" s="1" t="s">
        <v>33</v>
      </c>
      <c r="B222" s="1">
        <v>2019.0</v>
      </c>
      <c r="C222" s="1" t="s">
        <v>35</v>
      </c>
      <c r="D222" s="1">
        <v>139.4</v>
      </c>
      <c r="E222" s="1">
        <v>150.1</v>
      </c>
      <c r="F222" s="1">
        <v>145.3</v>
      </c>
      <c r="G222" s="1">
        <v>141.7</v>
      </c>
      <c r="H222" s="1">
        <v>118.4</v>
      </c>
      <c r="I222" s="1">
        <v>137.0</v>
      </c>
      <c r="J222" s="1">
        <v>131.6</v>
      </c>
      <c r="K222" s="1">
        <v>119.9</v>
      </c>
      <c r="L222" s="1">
        <v>110.4</v>
      </c>
      <c r="M222" s="1">
        <v>140.8</v>
      </c>
      <c r="N222" s="1">
        <v>128.3</v>
      </c>
      <c r="O222" s="1">
        <v>153.5</v>
      </c>
      <c r="P222" s="1">
        <v>138.0</v>
      </c>
      <c r="Q222" s="1">
        <v>164.9</v>
      </c>
      <c r="R222" s="1">
        <v>143.3</v>
      </c>
      <c r="S222" s="1">
        <v>130.8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132.2</v>
      </c>
      <c r="AA222" s="1">
        <v>146.6</v>
      </c>
      <c r="AB222" s="1">
        <v>133.0</v>
      </c>
      <c r="AC222" s="1">
        <v>132.4</v>
      </c>
      <c r="AD222" s="1">
        <v>138.6</v>
      </c>
    </row>
    <row r="223" ht="14.25" customHeight="1">
      <c r="A223" s="1" t="s">
        <v>34</v>
      </c>
      <c r="B223" s="1">
        <v>2019.0</v>
      </c>
      <c r="C223" s="1" t="s">
        <v>35</v>
      </c>
      <c r="D223" s="1">
        <v>137.6</v>
      </c>
      <c r="E223" s="1">
        <v>152.0</v>
      </c>
      <c r="F223" s="1">
        <v>141.5</v>
      </c>
      <c r="G223" s="1">
        <v>142.2</v>
      </c>
      <c r="H223" s="1">
        <v>122.0</v>
      </c>
      <c r="I223" s="1">
        <v>136.4</v>
      </c>
      <c r="J223" s="1">
        <v>129.7</v>
      </c>
      <c r="K223" s="1">
        <v>121.0</v>
      </c>
      <c r="L223" s="1">
        <v>109.0</v>
      </c>
      <c r="M223" s="1">
        <v>139.7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147.7</v>
      </c>
      <c r="S223" s="1">
        <v>139.7</v>
      </c>
      <c r="T223" s="1">
        <v>146.5</v>
      </c>
      <c r="U223" s="1">
        <v>148.5</v>
      </c>
      <c r="V223" s="1">
        <v>138.4</v>
      </c>
      <c r="W223" s="1">
        <v>143.7</v>
      </c>
      <c r="X223" s="1">
        <v>145.6</v>
      </c>
      <c r="Y223" s="1">
        <v>123.9</v>
      </c>
      <c r="Z223" s="1">
        <v>137.1</v>
      </c>
      <c r="AA223" s="1">
        <v>150.3</v>
      </c>
      <c r="AB223" s="1">
        <v>134.1</v>
      </c>
      <c r="AC223" s="1">
        <v>137.4</v>
      </c>
      <c r="AD223" s="1">
        <v>139.9</v>
      </c>
    </row>
    <row r="224" ht="14.25" customHeight="1">
      <c r="A224" s="1" t="s">
        <v>30</v>
      </c>
      <c r="B224" s="1">
        <v>2019.0</v>
      </c>
      <c r="C224" s="1" t="s">
        <v>36</v>
      </c>
      <c r="D224" s="1">
        <v>136.9</v>
      </c>
      <c r="E224" s="1">
        <v>154.1</v>
      </c>
      <c r="F224" s="1">
        <v>138.7</v>
      </c>
      <c r="G224" s="1">
        <v>142.5</v>
      </c>
      <c r="H224" s="1">
        <v>124.1</v>
      </c>
      <c r="I224" s="1">
        <v>136.1</v>
      </c>
      <c r="J224" s="1">
        <v>128.2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</v>
      </c>
      <c r="Q224" s="1">
        <v>162.9</v>
      </c>
      <c r="R224" s="1">
        <v>150.8</v>
      </c>
      <c r="S224" s="1">
        <v>146.1</v>
      </c>
      <c r="T224" s="1">
        <v>150.1</v>
      </c>
      <c r="U224" s="1">
        <v>149.0</v>
      </c>
      <c r="V224" s="1">
        <v>146.4</v>
      </c>
      <c r="W224" s="1">
        <v>150.0</v>
      </c>
      <c r="X224" s="1">
        <v>150.4</v>
      </c>
      <c r="Y224" s="1">
        <v>129.9</v>
      </c>
      <c r="Z224" s="1">
        <v>143.8</v>
      </c>
      <c r="AA224" s="1">
        <v>155.5</v>
      </c>
      <c r="AB224" s="1">
        <v>134.0</v>
      </c>
      <c r="AC224" s="1">
        <v>142.4</v>
      </c>
      <c r="AD224" s="1">
        <v>141.2</v>
      </c>
    </row>
    <row r="225" ht="14.25" customHeight="1">
      <c r="A225" s="1" t="s">
        <v>33</v>
      </c>
      <c r="B225" s="1">
        <v>2019.0</v>
      </c>
      <c r="C225" s="1" t="s">
        <v>36</v>
      </c>
      <c r="D225" s="1">
        <v>139.7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141.2</v>
      </c>
      <c r="K225" s="1">
        <v>120.7</v>
      </c>
      <c r="L225" s="1">
        <v>110.4</v>
      </c>
      <c r="M225" s="1">
        <v>140.7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131.2</v>
      </c>
      <c r="T225" s="1">
        <v>141.6</v>
      </c>
      <c r="U225" s="1">
        <v>149.0</v>
      </c>
      <c r="V225" s="1">
        <v>128.8</v>
      </c>
      <c r="W225" s="1">
        <v>136.8</v>
      </c>
      <c r="X225" s="1">
        <v>139.2</v>
      </c>
      <c r="Y225" s="1">
        <v>119.9</v>
      </c>
      <c r="Z225" s="1">
        <v>133.0</v>
      </c>
      <c r="AA225" s="1">
        <v>146.7</v>
      </c>
      <c r="AB225" s="1">
        <v>132.5</v>
      </c>
      <c r="AC225" s="1">
        <v>132.8</v>
      </c>
      <c r="AD225" s="1">
        <v>139.5</v>
      </c>
    </row>
    <row r="226" ht="14.25" customHeight="1">
      <c r="A226" s="1" t="s">
        <v>34</v>
      </c>
      <c r="B226" s="1">
        <v>2019.0</v>
      </c>
      <c r="C226" s="1" t="s">
        <v>36</v>
      </c>
      <c r="D226" s="1">
        <v>137.8</v>
      </c>
      <c r="E226" s="1">
        <v>153.0</v>
      </c>
      <c r="F226" s="1">
        <v>140.3</v>
      </c>
      <c r="G226" s="1">
        <v>142.3</v>
      </c>
      <c r="H226" s="1">
        <v>122.0</v>
      </c>
      <c r="I226" s="1">
        <v>137.6</v>
      </c>
      <c r="J226" s="1">
        <v>132.6</v>
      </c>
      <c r="K226" s="1">
        <v>121.8</v>
      </c>
      <c r="L226" s="1">
        <v>109.0</v>
      </c>
      <c r="M226" s="1">
        <v>139.5</v>
      </c>
      <c r="N226" s="1">
        <v>133.7</v>
      </c>
      <c r="O226" s="1">
        <v>155.2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146.7</v>
      </c>
      <c r="U226" s="1">
        <v>149.0</v>
      </c>
      <c r="V226" s="1">
        <v>139.7</v>
      </c>
      <c r="W226" s="1">
        <v>143.8</v>
      </c>
      <c r="X226" s="1">
        <v>146.2</v>
      </c>
      <c r="Y226" s="1">
        <v>124.6</v>
      </c>
      <c r="Z226" s="1">
        <v>137.7</v>
      </c>
      <c r="AA226" s="1">
        <v>150.3</v>
      </c>
      <c r="AB226" s="1">
        <v>133.4</v>
      </c>
      <c r="AC226" s="1">
        <v>137.7</v>
      </c>
      <c r="AD226" s="1">
        <v>140.4</v>
      </c>
    </row>
    <row r="227" ht="14.25" customHeight="1">
      <c r="A227" s="1" t="s">
        <v>30</v>
      </c>
      <c r="B227" s="1">
        <v>2019.0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124.0</v>
      </c>
      <c r="I227" s="1">
        <v>143.7</v>
      </c>
      <c r="J227" s="1">
        <v>133.4</v>
      </c>
      <c r="K227" s="1">
        <v>125.1</v>
      </c>
      <c r="L227" s="1">
        <v>109.3</v>
      </c>
      <c r="M227" s="1">
        <v>139.3</v>
      </c>
      <c r="N227" s="1">
        <v>137.7</v>
      </c>
      <c r="O227" s="1">
        <v>156.4</v>
      </c>
      <c r="P227" s="1">
        <v>139.2</v>
      </c>
      <c r="Q227" s="1">
        <v>163.3</v>
      </c>
      <c r="R227" s="1">
        <v>151.3</v>
      </c>
      <c r="S227" s="1">
        <v>146.6</v>
      </c>
      <c r="T227" s="1">
        <v>150.7</v>
      </c>
      <c r="U227" s="1">
        <v>150.1</v>
      </c>
      <c r="V227" s="1">
        <v>146.9</v>
      </c>
      <c r="W227" s="1">
        <v>149.5</v>
      </c>
      <c r="X227" s="1">
        <v>151.3</v>
      </c>
      <c r="Y227" s="1">
        <v>130.2</v>
      </c>
      <c r="Z227" s="1">
        <v>145.9</v>
      </c>
      <c r="AA227" s="1">
        <v>156.7</v>
      </c>
      <c r="AB227" s="1">
        <v>133.9</v>
      </c>
      <c r="AC227" s="1">
        <v>142.9</v>
      </c>
      <c r="AD227" s="1">
        <v>142.4</v>
      </c>
    </row>
    <row r="228" ht="14.25" customHeight="1">
      <c r="A228" s="1" t="s">
        <v>33</v>
      </c>
      <c r="B228" s="1">
        <v>2019.0</v>
      </c>
      <c r="C228" s="1" t="s">
        <v>38</v>
      </c>
      <c r="D228" s="1">
        <v>140.4</v>
      </c>
      <c r="E228" s="1">
        <v>156.7</v>
      </c>
      <c r="F228" s="1">
        <v>138.3</v>
      </c>
      <c r="G228" s="1">
        <v>142.4</v>
      </c>
      <c r="H228" s="1">
        <v>118.6</v>
      </c>
      <c r="I228" s="1">
        <v>149.7</v>
      </c>
      <c r="J228" s="1">
        <v>161.6</v>
      </c>
      <c r="K228" s="1">
        <v>124.4</v>
      </c>
      <c r="L228" s="1">
        <v>111.2</v>
      </c>
      <c r="M228" s="1">
        <v>141.0</v>
      </c>
      <c r="N228" s="1">
        <v>128.9</v>
      </c>
      <c r="O228" s="1">
        <v>154.5</v>
      </c>
      <c r="P228" s="1">
        <v>143.8</v>
      </c>
      <c r="Q228" s="1">
        <v>166.2</v>
      </c>
      <c r="R228" s="1">
        <v>144.0</v>
      </c>
      <c r="S228" s="1">
        <v>131.7</v>
      </c>
      <c r="T228" s="1">
        <v>142.2</v>
      </c>
      <c r="U228" s="1">
        <v>150.1</v>
      </c>
      <c r="V228" s="1">
        <v>129.4</v>
      </c>
      <c r="W228" s="1">
        <v>137.2</v>
      </c>
      <c r="X228" s="1">
        <v>139.8</v>
      </c>
      <c r="Y228" s="1">
        <v>120.1</v>
      </c>
      <c r="Z228" s="1">
        <v>134.0</v>
      </c>
      <c r="AA228" s="1">
        <v>148.0</v>
      </c>
      <c r="AB228" s="1">
        <v>132.6</v>
      </c>
      <c r="AC228" s="1">
        <v>133.3</v>
      </c>
      <c r="AD228" s="1">
        <v>141.5</v>
      </c>
    </row>
    <row r="229" ht="14.25" customHeight="1">
      <c r="A229" s="1" t="s">
        <v>34</v>
      </c>
      <c r="B229" s="1">
        <v>2019.0</v>
      </c>
      <c r="C229" s="1" t="s">
        <v>38</v>
      </c>
      <c r="D229" s="1">
        <v>138.3</v>
      </c>
      <c r="E229" s="1">
        <v>158.5</v>
      </c>
      <c r="F229" s="1">
        <v>136.0</v>
      </c>
      <c r="G229" s="1">
        <v>142.5</v>
      </c>
      <c r="H229" s="1">
        <v>122.0</v>
      </c>
      <c r="I229" s="1">
        <v>146.5</v>
      </c>
      <c r="J229" s="1">
        <v>143.0</v>
      </c>
      <c r="K229" s="1">
        <v>124.9</v>
      </c>
      <c r="L229" s="1">
        <v>109.9</v>
      </c>
      <c r="M229" s="1">
        <v>139.9</v>
      </c>
      <c r="N229" s="1">
        <v>134.0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</v>
      </c>
      <c r="U229" s="1">
        <v>150.1</v>
      </c>
      <c r="V229" s="1">
        <v>140.3</v>
      </c>
      <c r="W229" s="1">
        <v>143.7</v>
      </c>
      <c r="X229" s="1">
        <v>146.9</v>
      </c>
      <c r="Y229" s="1">
        <v>124.9</v>
      </c>
      <c r="Z229" s="1">
        <v>139.2</v>
      </c>
      <c r="AA229" s="1">
        <v>151.6</v>
      </c>
      <c r="AB229" s="1">
        <v>133.4</v>
      </c>
      <c r="AC229" s="1">
        <v>138.2</v>
      </c>
      <c r="AD229" s="1">
        <v>142.0</v>
      </c>
    </row>
    <row r="230" ht="14.25" customHeight="1">
      <c r="A230" s="1" t="s">
        <v>30</v>
      </c>
      <c r="B230" s="1">
        <v>2019.0</v>
      </c>
      <c r="C230" s="1" t="s">
        <v>39</v>
      </c>
      <c r="D230" s="1">
        <v>137.8</v>
      </c>
      <c r="E230" s="1">
        <v>163.5</v>
      </c>
      <c r="F230" s="1">
        <v>136.2</v>
      </c>
      <c r="G230" s="1">
        <v>143.2</v>
      </c>
      <c r="H230" s="1">
        <v>124.3</v>
      </c>
      <c r="I230" s="1">
        <v>143.3</v>
      </c>
      <c r="J230" s="1">
        <v>140.6</v>
      </c>
      <c r="K230" s="1">
        <v>128.7</v>
      </c>
      <c r="L230" s="1">
        <v>110.6</v>
      </c>
      <c r="M230" s="1">
        <v>140.4</v>
      </c>
      <c r="N230" s="1">
        <v>138.0</v>
      </c>
      <c r="O230" s="1">
        <v>156.6</v>
      </c>
      <c r="P230" s="1">
        <v>141.0</v>
      </c>
      <c r="Q230" s="1">
        <v>164.2</v>
      </c>
      <c r="R230" s="1">
        <v>151.4</v>
      </c>
      <c r="S230" s="1">
        <v>146.5</v>
      </c>
      <c r="T230" s="1">
        <v>150.7</v>
      </c>
      <c r="U230" s="1">
        <v>149.4</v>
      </c>
      <c r="V230" s="1">
        <v>147.8</v>
      </c>
      <c r="W230" s="1">
        <v>149.6</v>
      </c>
      <c r="X230" s="1">
        <v>151.7</v>
      </c>
      <c r="Y230" s="1">
        <v>130.2</v>
      </c>
      <c r="Z230" s="1">
        <v>146.4</v>
      </c>
      <c r="AA230" s="1">
        <v>157.7</v>
      </c>
      <c r="AB230" s="1">
        <v>134.8</v>
      </c>
      <c r="AC230" s="1">
        <v>143.3</v>
      </c>
      <c r="AD230" s="1">
        <v>143.6</v>
      </c>
    </row>
    <row r="231" ht="14.25" customHeight="1">
      <c r="A231" s="1" t="s">
        <v>33</v>
      </c>
      <c r="B231" s="1">
        <v>2019.0</v>
      </c>
      <c r="C231" s="1" t="s">
        <v>39</v>
      </c>
      <c r="D231" s="1">
        <v>140.7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141.0</v>
      </c>
      <c r="N231" s="1">
        <v>129.0</v>
      </c>
      <c r="O231" s="1">
        <v>155.1</v>
      </c>
      <c r="P231" s="1">
        <v>145.6</v>
      </c>
      <c r="Q231" s="1">
        <v>166.7</v>
      </c>
      <c r="R231" s="1">
        <v>144.3</v>
      </c>
      <c r="S231" s="1">
        <v>131.7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</v>
      </c>
      <c r="Y231" s="1">
        <v>119.6</v>
      </c>
      <c r="Z231" s="1">
        <v>134.3</v>
      </c>
      <c r="AA231" s="1">
        <v>148.9</v>
      </c>
      <c r="AB231" s="1">
        <v>133.7</v>
      </c>
      <c r="AC231" s="1">
        <v>133.6</v>
      </c>
      <c r="AD231" s="1">
        <v>142.1</v>
      </c>
    </row>
    <row r="232" ht="14.25" customHeight="1">
      <c r="A232" s="1" t="s">
        <v>34</v>
      </c>
      <c r="B232" s="1">
        <v>2019.0</v>
      </c>
      <c r="C232" s="1" t="s">
        <v>39</v>
      </c>
      <c r="D232" s="1">
        <v>138.7</v>
      </c>
      <c r="E232" s="1">
        <v>162.1</v>
      </c>
      <c r="F232" s="1">
        <v>137.8</v>
      </c>
      <c r="G232" s="1">
        <v>143.3</v>
      </c>
      <c r="H232" s="1">
        <v>122.2</v>
      </c>
      <c r="I232" s="1">
        <v>146.8</v>
      </c>
      <c r="J232" s="1">
        <v>150.5</v>
      </c>
      <c r="K232" s="1">
        <v>128.3</v>
      </c>
      <c r="L232" s="1">
        <v>111.0</v>
      </c>
      <c r="M232" s="1">
        <v>140.6</v>
      </c>
      <c r="N232" s="1">
        <v>134.2</v>
      </c>
      <c r="O232" s="1">
        <v>155.9</v>
      </c>
      <c r="P232" s="1">
        <v>142.7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141.2</v>
      </c>
      <c r="W232" s="1">
        <v>143.8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</v>
      </c>
      <c r="AC232" s="1">
        <v>138.6</v>
      </c>
      <c r="AD232" s="1">
        <v>142.9</v>
      </c>
    </row>
    <row r="233" ht="14.25" customHeight="1">
      <c r="A233" s="1" t="s">
        <v>30</v>
      </c>
      <c r="B233" s="1">
        <v>2019.0</v>
      </c>
      <c r="C233" s="1" t="s">
        <v>40</v>
      </c>
      <c r="D233" s="1">
        <v>138.4</v>
      </c>
      <c r="E233" s="1">
        <v>164.0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141.7</v>
      </c>
      <c r="N233" s="1">
        <v>138.5</v>
      </c>
      <c r="O233" s="1">
        <v>156.7</v>
      </c>
      <c r="P233" s="1">
        <v>143.0</v>
      </c>
      <c r="Q233" s="1">
        <v>164.5</v>
      </c>
      <c r="R233" s="1">
        <v>151.6</v>
      </c>
      <c r="S233" s="1">
        <v>146.6</v>
      </c>
      <c r="T233" s="1">
        <v>150.9</v>
      </c>
      <c r="U233" s="1">
        <v>150.6</v>
      </c>
      <c r="V233" s="1">
        <v>146.8</v>
      </c>
      <c r="W233" s="1">
        <v>150.0</v>
      </c>
      <c r="X233" s="1">
        <v>152.2</v>
      </c>
      <c r="Y233" s="1">
        <v>131.2</v>
      </c>
      <c r="Z233" s="1">
        <v>147.5</v>
      </c>
      <c r="AA233" s="1">
        <v>159.1</v>
      </c>
      <c r="AB233" s="1">
        <v>136.1</v>
      </c>
      <c r="AC233" s="1">
        <v>144.2</v>
      </c>
      <c r="AD233" s="1">
        <v>144.9</v>
      </c>
    </row>
    <row r="234" ht="14.25" customHeight="1">
      <c r="A234" s="1" t="s">
        <v>33</v>
      </c>
      <c r="B234" s="1">
        <v>2019.0</v>
      </c>
      <c r="C234" s="1" t="s">
        <v>40</v>
      </c>
      <c r="D234" s="1">
        <v>141.4</v>
      </c>
      <c r="E234" s="1">
        <v>160.2</v>
      </c>
      <c r="F234" s="1">
        <v>142.5</v>
      </c>
      <c r="G234" s="1">
        <v>144.1</v>
      </c>
      <c r="H234" s="1">
        <v>119.3</v>
      </c>
      <c r="I234" s="1">
        <v>154.7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147.7</v>
      </c>
      <c r="Q234" s="1">
        <v>167.2</v>
      </c>
      <c r="R234" s="1">
        <v>144.7</v>
      </c>
      <c r="S234" s="1">
        <v>131.9</v>
      </c>
      <c r="T234" s="1">
        <v>142.7</v>
      </c>
      <c r="U234" s="1">
        <v>150.6</v>
      </c>
      <c r="V234" s="1">
        <v>127.0</v>
      </c>
      <c r="W234" s="1">
        <v>137.7</v>
      </c>
      <c r="X234" s="1">
        <v>140.8</v>
      </c>
      <c r="Y234" s="1">
        <v>120.6</v>
      </c>
      <c r="Z234" s="1">
        <v>135.0</v>
      </c>
      <c r="AA234" s="1">
        <v>150.4</v>
      </c>
      <c r="AB234" s="1">
        <v>135.1</v>
      </c>
      <c r="AC234" s="1">
        <v>134.5</v>
      </c>
      <c r="AD234" s="1">
        <v>143.3</v>
      </c>
    </row>
    <row r="235" ht="14.25" customHeight="1">
      <c r="A235" s="1" t="s">
        <v>34</v>
      </c>
      <c r="B235" s="1">
        <v>2019.0</v>
      </c>
      <c r="C235" s="1" t="s">
        <v>40</v>
      </c>
      <c r="D235" s="1">
        <v>139.3</v>
      </c>
      <c r="E235" s="1">
        <v>162.7</v>
      </c>
      <c r="F235" s="1">
        <v>140.0</v>
      </c>
      <c r="G235" s="1">
        <v>144.0</v>
      </c>
      <c r="H235" s="1">
        <v>122.5</v>
      </c>
      <c r="I235" s="1">
        <v>150.3</v>
      </c>
      <c r="J235" s="1">
        <v>160.3</v>
      </c>
      <c r="K235" s="1">
        <v>130.0</v>
      </c>
      <c r="L235" s="1">
        <v>111.1</v>
      </c>
      <c r="M235" s="1">
        <v>141.7</v>
      </c>
      <c r="N235" s="1">
        <v>134.7</v>
      </c>
      <c r="O235" s="1">
        <v>156.2</v>
      </c>
      <c r="P235" s="1">
        <v>144.7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</v>
      </c>
      <c r="W235" s="1">
        <v>144.2</v>
      </c>
      <c r="X235" s="1">
        <v>147.9</v>
      </c>
      <c r="Y235" s="1">
        <v>125.6</v>
      </c>
      <c r="Z235" s="1">
        <v>140.5</v>
      </c>
      <c r="AA235" s="1">
        <v>154.0</v>
      </c>
      <c r="AB235" s="1">
        <v>135.7</v>
      </c>
      <c r="AC235" s="1">
        <v>139.5</v>
      </c>
      <c r="AD235" s="1">
        <v>144.2</v>
      </c>
    </row>
    <row r="236" ht="14.25" customHeight="1">
      <c r="A236" s="1" t="s">
        <v>30</v>
      </c>
      <c r="B236" s="1">
        <v>2019.0</v>
      </c>
      <c r="C236" s="1" t="s">
        <v>41</v>
      </c>
      <c r="D236" s="1">
        <v>139.2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156.2</v>
      </c>
      <c r="K236" s="1">
        <v>131.5</v>
      </c>
      <c r="L236" s="1">
        <v>111.7</v>
      </c>
      <c r="M236" s="1">
        <v>142.7</v>
      </c>
      <c r="N236" s="1">
        <v>138.5</v>
      </c>
      <c r="O236" s="1">
        <v>156.9</v>
      </c>
      <c r="P236" s="1">
        <v>144.0</v>
      </c>
      <c r="Q236" s="1">
        <v>165.1</v>
      </c>
      <c r="R236" s="1">
        <v>151.8</v>
      </c>
      <c r="S236" s="1">
        <v>146.6</v>
      </c>
      <c r="T236" s="1">
        <v>151.1</v>
      </c>
      <c r="U236" s="1">
        <v>151.6</v>
      </c>
      <c r="V236" s="1">
        <v>146.4</v>
      </c>
      <c r="W236" s="1">
        <v>150.2</v>
      </c>
      <c r="X236" s="1">
        <v>152.7</v>
      </c>
      <c r="Y236" s="1">
        <v>131.4</v>
      </c>
      <c r="Z236" s="1">
        <v>148.0</v>
      </c>
      <c r="AA236" s="1">
        <v>159.7</v>
      </c>
      <c r="AB236" s="1">
        <v>138.8</v>
      </c>
      <c r="AC236" s="1">
        <v>144.9</v>
      </c>
      <c r="AD236" s="1">
        <v>145.7</v>
      </c>
    </row>
    <row r="237" ht="14.25" customHeight="1">
      <c r="A237" s="1" t="s">
        <v>33</v>
      </c>
      <c r="B237" s="1">
        <v>2019.0</v>
      </c>
      <c r="C237" s="1" t="s">
        <v>41</v>
      </c>
      <c r="D237" s="1">
        <v>142.1</v>
      </c>
      <c r="E237" s="1">
        <v>158.3</v>
      </c>
      <c r="F237" s="1">
        <v>140.8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</v>
      </c>
      <c r="L237" s="1">
        <v>112.7</v>
      </c>
      <c r="M237" s="1">
        <v>142.5</v>
      </c>
      <c r="N237" s="1">
        <v>129.8</v>
      </c>
      <c r="O237" s="1">
        <v>156.2</v>
      </c>
      <c r="P237" s="1">
        <v>149.1</v>
      </c>
      <c r="Q237" s="1">
        <v>167.9</v>
      </c>
      <c r="R237" s="1">
        <v>145.0</v>
      </c>
      <c r="S237" s="1">
        <v>132.2</v>
      </c>
      <c r="T237" s="1">
        <v>143.0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</v>
      </c>
      <c r="AC237" s="1">
        <v>135.3</v>
      </c>
      <c r="AD237" s="1">
        <v>144.2</v>
      </c>
    </row>
    <row r="238" ht="14.25" customHeight="1">
      <c r="A238" s="1" t="s">
        <v>34</v>
      </c>
      <c r="B238" s="1">
        <v>2019.0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144.7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112.0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140.2</v>
      </c>
      <c r="AD238" s="1">
        <v>145.0</v>
      </c>
    </row>
    <row r="239" ht="14.25" customHeight="1">
      <c r="A239" s="1" t="s">
        <v>30</v>
      </c>
      <c r="B239" s="1">
        <v>2019.0</v>
      </c>
      <c r="C239" s="1" t="s">
        <v>42</v>
      </c>
      <c r="D239" s="1">
        <v>140.1</v>
      </c>
      <c r="E239" s="1">
        <v>161.9</v>
      </c>
      <c r="F239" s="1">
        <v>138.3</v>
      </c>
      <c r="G239" s="1">
        <v>145.7</v>
      </c>
      <c r="H239" s="1">
        <v>125.1</v>
      </c>
      <c r="I239" s="1">
        <v>143.8</v>
      </c>
      <c r="J239" s="1">
        <v>163.4</v>
      </c>
      <c r="K239" s="1">
        <v>132.2</v>
      </c>
      <c r="L239" s="1">
        <v>112.8</v>
      </c>
      <c r="M239" s="1">
        <v>144.2</v>
      </c>
      <c r="N239" s="1">
        <v>138.5</v>
      </c>
      <c r="O239" s="1">
        <v>157.2</v>
      </c>
      <c r="P239" s="1">
        <v>145.5</v>
      </c>
      <c r="Q239" s="1">
        <v>165.7</v>
      </c>
      <c r="R239" s="1">
        <v>151.7</v>
      </c>
      <c r="S239" s="1">
        <v>146.6</v>
      </c>
      <c r="T239" s="1">
        <v>151.0</v>
      </c>
      <c r="U239" s="1">
        <v>152.2</v>
      </c>
      <c r="V239" s="1">
        <v>146.9</v>
      </c>
      <c r="W239" s="1">
        <v>150.3</v>
      </c>
      <c r="X239" s="1">
        <v>153.4</v>
      </c>
      <c r="Y239" s="1">
        <v>131.6</v>
      </c>
      <c r="Z239" s="1">
        <v>148.3</v>
      </c>
      <c r="AA239" s="1">
        <v>160.2</v>
      </c>
      <c r="AB239" s="1">
        <v>140.2</v>
      </c>
      <c r="AC239" s="1">
        <v>145.4</v>
      </c>
      <c r="AD239" s="1">
        <v>146.7</v>
      </c>
    </row>
    <row r="240" ht="14.25" customHeight="1">
      <c r="A240" s="1" t="s">
        <v>33</v>
      </c>
      <c r="B240" s="1">
        <v>2019.0</v>
      </c>
      <c r="C240" s="1" t="s">
        <v>42</v>
      </c>
      <c r="D240" s="1">
        <v>142.7</v>
      </c>
      <c r="E240" s="1">
        <v>158.7</v>
      </c>
      <c r="F240" s="1">
        <v>141.6</v>
      </c>
      <c r="G240" s="1">
        <v>144.9</v>
      </c>
      <c r="H240" s="1">
        <v>120.8</v>
      </c>
      <c r="I240" s="1">
        <v>149.8</v>
      </c>
      <c r="J240" s="1">
        <v>192.4</v>
      </c>
      <c r="K240" s="1">
        <v>130.3</v>
      </c>
      <c r="L240" s="1">
        <v>114.0</v>
      </c>
      <c r="M240" s="1">
        <v>143.8</v>
      </c>
      <c r="N240" s="1">
        <v>130.0</v>
      </c>
      <c r="O240" s="1">
        <v>156.4</v>
      </c>
      <c r="P240" s="1">
        <v>149.5</v>
      </c>
      <c r="Q240" s="1">
        <v>168.6</v>
      </c>
      <c r="R240" s="1">
        <v>145.3</v>
      </c>
      <c r="S240" s="1">
        <v>132.2</v>
      </c>
      <c r="T240" s="1">
        <v>143.3</v>
      </c>
      <c r="U240" s="1">
        <v>152.2</v>
      </c>
      <c r="V240" s="1">
        <v>126.6</v>
      </c>
      <c r="W240" s="1">
        <v>138.3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139.0</v>
      </c>
      <c r="AC240" s="1">
        <v>135.7</v>
      </c>
      <c r="AD240" s="1">
        <v>144.7</v>
      </c>
    </row>
    <row r="241" ht="14.25" customHeight="1">
      <c r="A241" s="1" t="s">
        <v>34</v>
      </c>
      <c r="B241" s="1">
        <v>2019.0</v>
      </c>
      <c r="C241" s="1" t="s">
        <v>42</v>
      </c>
      <c r="D241" s="1">
        <v>140.9</v>
      </c>
      <c r="E241" s="1">
        <v>160.8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135.0</v>
      </c>
      <c r="O241" s="1">
        <v>156.8</v>
      </c>
      <c r="P241" s="1">
        <v>147.0</v>
      </c>
      <c r="Q241" s="1">
        <v>166.5</v>
      </c>
      <c r="R241" s="1">
        <v>149.2</v>
      </c>
      <c r="S241" s="1">
        <v>140.6</v>
      </c>
      <c r="T241" s="1">
        <v>147.9</v>
      </c>
      <c r="U241" s="1">
        <v>152.2</v>
      </c>
      <c r="V241" s="1">
        <v>139.2</v>
      </c>
      <c r="W241" s="1">
        <v>144.6</v>
      </c>
      <c r="X241" s="1">
        <v>149.0</v>
      </c>
      <c r="Y241" s="1">
        <v>126.1</v>
      </c>
      <c r="Z241" s="1">
        <v>141.3</v>
      </c>
      <c r="AA241" s="1">
        <v>155.2</v>
      </c>
      <c r="AB241" s="1">
        <v>139.7</v>
      </c>
      <c r="AC241" s="1">
        <v>140.7</v>
      </c>
      <c r="AD241" s="1">
        <v>145.8</v>
      </c>
    </row>
    <row r="242" ht="14.25" customHeight="1">
      <c r="A242" s="1" t="s">
        <v>30</v>
      </c>
      <c r="B242" s="1">
        <v>2019.0</v>
      </c>
      <c r="C242" s="1" t="s">
        <v>43</v>
      </c>
      <c r="D242" s="1">
        <v>141.0</v>
      </c>
      <c r="E242" s="1">
        <v>161.6</v>
      </c>
      <c r="F242" s="1">
        <v>141.2</v>
      </c>
      <c r="G242" s="1">
        <v>146.5</v>
      </c>
      <c r="H242" s="1">
        <v>125.6</v>
      </c>
      <c r="I242" s="1">
        <v>145.7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</v>
      </c>
      <c r="Q242" s="1">
        <v>166.3</v>
      </c>
      <c r="R242" s="1">
        <v>151.7</v>
      </c>
      <c r="S242" s="1">
        <v>146.7</v>
      </c>
      <c r="T242" s="1">
        <v>151.0</v>
      </c>
      <c r="U242" s="1">
        <v>153.0</v>
      </c>
      <c r="V242" s="1">
        <v>147.7</v>
      </c>
      <c r="W242" s="1">
        <v>150.6</v>
      </c>
      <c r="X242" s="1">
        <v>153.7</v>
      </c>
      <c r="Y242" s="1">
        <v>131.7</v>
      </c>
      <c r="Z242" s="1">
        <v>148.7</v>
      </c>
      <c r="AA242" s="1">
        <v>160.7</v>
      </c>
      <c r="AB242" s="1">
        <v>140.3</v>
      </c>
      <c r="AC242" s="1">
        <v>145.7</v>
      </c>
      <c r="AD242" s="1">
        <v>148.3</v>
      </c>
    </row>
    <row r="243" ht="14.25" customHeight="1">
      <c r="A243" s="1" t="s">
        <v>33</v>
      </c>
      <c r="B243" s="1">
        <v>2019.0</v>
      </c>
      <c r="C243" s="1" t="s">
        <v>43</v>
      </c>
      <c r="D243" s="1">
        <v>143.5</v>
      </c>
      <c r="E243" s="1">
        <v>159.8</v>
      </c>
      <c r="F243" s="1">
        <v>144.7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131.2</v>
      </c>
      <c r="L243" s="1">
        <v>114.8</v>
      </c>
      <c r="M243" s="1">
        <v>145.2</v>
      </c>
      <c r="N243" s="1">
        <v>130.2</v>
      </c>
      <c r="O243" s="1">
        <v>156.8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153.0</v>
      </c>
      <c r="V243" s="1">
        <v>128.9</v>
      </c>
      <c r="W243" s="1">
        <v>138.7</v>
      </c>
      <c r="X243" s="1">
        <v>142.4</v>
      </c>
      <c r="Y243" s="1">
        <v>121.5</v>
      </c>
      <c r="Z243" s="1">
        <v>136.2</v>
      </c>
      <c r="AA243" s="1">
        <v>151.7</v>
      </c>
      <c r="AB243" s="1">
        <v>139.5</v>
      </c>
      <c r="AC243" s="1">
        <v>136.0</v>
      </c>
      <c r="AD243" s="1">
        <v>146.0</v>
      </c>
    </row>
    <row r="244" ht="14.25" customHeight="1">
      <c r="A244" s="1" t="s">
        <v>34</v>
      </c>
      <c r="B244" s="1">
        <v>2019.0</v>
      </c>
      <c r="C244" s="1" t="s">
        <v>43</v>
      </c>
      <c r="D244" s="1">
        <v>141.8</v>
      </c>
      <c r="E244" s="1">
        <v>161.0</v>
      </c>
      <c r="F244" s="1">
        <v>142.6</v>
      </c>
      <c r="G244" s="1">
        <v>146.2</v>
      </c>
      <c r="H244" s="1">
        <v>123.9</v>
      </c>
      <c r="I244" s="1">
        <v>148.0</v>
      </c>
      <c r="J244" s="1">
        <v>188.4</v>
      </c>
      <c r="K244" s="1">
        <v>132.5</v>
      </c>
      <c r="L244" s="1">
        <v>114.0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</v>
      </c>
      <c r="T244" s="1">
        <v>148.2</v>
      </c>
      <c r="U244" s="1">
        <v>153.0</v>
      </c>
      <c r="V244" s="1">
        <v>140.6</v>
      </c>
      <c r="W244" s="1">
        <v>145.0</v>
      </c>
      <c r="X244" s="1">
        <v>149.4</v>
      </c>
      <c r="Y244" s="1">
        <v>126.3</v>
      </c>
      <c r="Z244" s="1">
        <v>141.7</v>
      </c>
      <c r="AA244" s="1">
        <v>155.4</v>
      </c>
      <c r="AB244" s="1">
        <v>140.0</v>
      </c>
      <c r="AC244" s="1">
        <v>141.0</v>
      </c>
      <c r="AD244" s="1">
        <v>147.2</v>
      </c>
    </row>
    <row r="245" ht="14.25" customHeight="1">
      <c r="A245" s="1" t="s">
        <v>30</v>
      </c>
      <c r="B245" s="1">
        <v>2019.0</v>
      </c>
      <c r="C245" s="1" t="s">
        <v>45</v>
      </c>
      <c r="D245" s="1">
        <v>141.8</v>
      </c>
      <c r="E245" s="1">
        <v>163.7</v>
      </c>
      <c r="F245" s="1">
        <v>143.8</v>
      </c>
      <c r="G245" s="1">
        <v>147.1</v>
      </c>
      <c r="H245" s="1">
        <v>126.0</v>
      </c>
      <c r="I245" s="1">
        <v>146.2</v>
      </c>
      <c r="J245" s="1">
        <v>191.4</v>
      </c>
      <c r="K245" s="1">
        <v>136.2</v>
      </c>
      <c r="L245" s="1">
        <v>113.8</v>
      </c>
      <c r="M245" s="1">
        <v>147.3</v>
      </c>
      <c r="N245" s="1">
        <v>138.7</v>
      </c>
      <c r="O245" s="1">
        <v>157.7</v>
      </c>
      <c r="P245" s="1">
        <v>150.9</v>
      </c>
      <c r="Q245" s="1">
        <v>167.2</v>
      </c>
      <c r="R245" s="1">
        <v>152.3</v>
      </c>
      <c r="S245" s="1">
        <v>147.0</v>
      </c>
      <c r="T245" s="1">
        <v>151.5</v>
      </c>
      <c r="U245" s="1">
        <v>153.5</v>
      </c>
      <c r="V245" s="1">
        <v>148.4</v>
      </c>
      <c r="W245" s="1">
        <v>150.9</v>
      </c>
      <c r="X245" s="1">
        <v>154.3</v>
      </c>
      <c r="Y245" s="1">
        <v>132.1</v>
      </c>
      <c r="Z245" s="1">
        <v>149.1</v>
      </c>
      <c r="AA245" s="1">
        <v>160.8</v>
      </c>
      <c r="AB245" s="1">
        <v>140.6</v>
      </c>
      <c r="AC245" s="1">
        <v>146.1</v>
      </c>
      <c r="AD245" s="1">
        <v>149.9</v>
      </c>
    </row>
    <row r="246" ht="14.25" customHeight="1">
      <c r="A246" s="1" t="s">
        <v>33</v>
      </c>
      <c r="B246" s="1">
        <v>2019.0</v>
      </c>
      <c r="C246" s="1" t="s">
        <v>45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</v>
      </c>
      <c r="J246" s="1">
        <v>215.7</v>
      </c>
      <c r="K246" s="1">
        <v>134.6</v>
      </c>
      <c r="L246" s="1">
        <v>115.0</v>
      </c>
      <c r="M246" s="1">
        <v>146.3</v>
      </c>
      <c r="N246" s="1">
        <v>130.5</v>
      </c>
      <c r="O246" s="1">
        <v>157.2</v>
      </c>
      <c r="P246" s="1">
        <v>153.6</v>
      </c>
      <c r="Q246" s="1">
        <v>169.9</v>
      </c>
      <c r="R246" s="1">
        <v>146.3</v>
      </c>
      <c r="S246" s="1">
        <v>132.6</v>
      </c>
      <c r="T246" s="1">
        <v>144.2</v>
      </c>
      <c r="U246" s="1">
        <v>153.5</v>
      </c>
      <c r="V246" s="1">
        <v>132.2</v>
      </c>
      <c r="W246" s="1">
        <v>139.1</v>
      </c>
      <c r="X246" s="1">
        <v>142.8</v>
      </c>
      <c r="Y246" s="1">
        <v>121.7</v>
      </c>
      <c r="Z246" s="1">
        <v>136.7</v>
      </c>
      <c r="AA246" s="1">
        <v>151.8</v>
      </c>
      <c r="AB246" s="1">
        <v>139.8</v>
      </c>
      <c r="AC246" s="1">
        <v>136.3</v>
      </c>
      <c r="AD246" s="1">
        <v>147.0</v>
      </c>
    </row>
    <row r="247" ht="14.25" customHeight="1">
      <c r="A247" s="1" t="s">
        <v>34</v>
      </c>
      <c r="B247" s="1">
        <v>2019.0</v>
      </c>
      <c r="C247" s="1" t="s">
        <v>45</v>
      </c>
      <c r="D247" s="1">
        <v>142.5</v>
      </c>
      <c r="E247" s="1">
        <v>163.2</v>
      </c>
      <c r="F247" s="1">
        <v>145.6</v>
      </c>
      <c r="G247" s="1">
        <v>146.7</v>
      </c>
      <c r="H247" s="1">
        <v>124.3</v>
      </c>
      <c r="I247" s="1">
        <v>147.4</v>
      </c>
      <c r="J247" s="1">
        <v>199.6</v>
      </c>
      <c r="K247" s="1">
        <v>135.7</v>
      </c>
      <c r="L247" s="1">
        <v>114.2</v>
      </c>
      <c r="M247" s="1">
        <v>147.0</v>
      </c>
      <c r="N247" s="1">
        <v>135.3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141.0</v>
      </c>
      <c r="T247" s="1">
        <v>148.6</v>
      </c>
      <c r="U247" s="1">
        <v>153.5</v>
      </c>
      <c r="V247" s="1">
        <v>142.3</v>
      </c>
      <c r="W247" s="1">
        <v>145.3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</v>
      </c>
      <c r="AC247" s="1">
        <v>141.3</v>
      </c>
      <c r="AD247" s="1">
        <v>148.6</v>
      </c>
    </row>
    <row r="248" ht="14.25" customHeight="1">
      <c r="A248" s="1" t="s">
        <v>30</v>
      </c>
      <c r="B248" s="1">
        <v>2019.0</v>
      </c>
      <c r="C248" s="1" t="s">
        <v>46</v>
      </c>
      <c r="D248" s="1">
        <v>142.8</v>
      </c>
      <c r="E248" s="1">
        <v>165.3</v>
      </c>
      <c r="F248" s="1">
        <v>149.5</v>
      </c>
      <c r="G248" s="1">
        <v>148.7</v>
      </c>
      <c r="H248" s="1">
        <v>127.5</v>
      </c>
      <c r="I248" s="1">
        <v>144.3</v>
      </c>
      <c r="J248" s="1">
        <v>209.5</v>
      </c>
      <c r="K248" s="1">
        <v>138.8</v>
      </c>
      <c r="L248" s="1">
        <v>113.6</v>
      </c>
      <c r="M248" s="1">
        <v>149.1</v>
      </c>
      <c r="N248" s="1">
        <v>139.3</v>
      </c>
      <c r="O248" s="1">
        <v>158.3</v>
      </c>
      <c r="P248" s="1">
        <v>154.3</v>
      </c>
      <c r="Q248" s="1">
        <v>167.8</v>
      </c>
      <c r="R248" s="1">
        <v>152.6</v>
      </c>
      <c r="S248" s="1">
        <v>147.3</v>
      </c>
      <c r="T248" s="1">
        <v>151.9</v>
      </c>
      <c r="U248" s="1">
        <v>152.8</v>
      </c>
      <c r="V248" s="1">
        <v>149.9</v>
      </c>
      <c r="W248" s="1">
        <v>151.2</v>
      </c>
      <c r="X248" s="1">
        <v>154.8</v>
      </c>
      <c r="Y248" s="1">
        <v>135.0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</v>
      </c>
    </row>
    <row r="249" ht="14.25" customHeight="1">
      <c r="A249" s="1" t="s">
        <v>33</v>
      </c>
      <c r="B249" s="1">
        <v>2019.0</v>
      </c>
      <c r="C249" s="1" t="s">
        <v>46</v>
      </c>
      <c r="D249" s="1">
        <v>144.9</v>
      </c>
      <c r="E249" s="1">
        <v>164.5</v>
      </c>
      <c r="F249" s="1">
        <v>153.7</v>
      </c>
      <c r="G249" s="1">
        <v>147.5</v>
      </c>
      <c r="H249" s="1">
        <v>122.7</v>
      </c>
      <c r="I249" s="1">
        <v>147.2</v>
      </c>
      <c r="J249" s="1">
        <v>231.5</v>
      </c>
      <c r="K249" s="1">
        <v>137.2</v>
      </c>
      <c r="L249" s="1">
        <v>114.7</v>
      </c>
      <c r="M249" s="1">
        <v>148.0</v>
      </c>
      <c r="N249" s="1">
        <v>130.8</v>
      </c>
      <c r="O249" s="1">
        <v>157.7</v>
      </c>
      <c r="P249" s="1">
        <v>156.3</v>
      </c>
      <c r="Q249" s="1">
        <v>170.4</v>
      </c>
      <c r="R249" s="1">
        <v>146.8</v>
      </c>
      <c r="S249" s="1">
        <v>132.8</v>
      </c>
      <c r="T249" s="1">
        <v>144.6</v>
      </c>
      <c r="U249" s="1">
        <v>152.8</v>
      </c>
      <c r="V249" s="1">
        <v>133.6</v>
      </c>
      <c r="W249" s="1">
        <v>139.8</v>
      </c>
      <c r="X249" s="1">
        <v>143.2</v>
      </c>
      <c r="Y249" s="1">
        <v>125.2</v>
      </c>
      <c r="Z249" s="1">
        <v>136.8</v>
      </c>
      <c r="AA249" s="1">
        <v>151.9</v>
      </c>
      <c r="AB249" s="1">
        <v>140.2</v>
      </c>
      <c r="AC249" s="1">
        <v>137.7</v>
      </c>
      <c r="AD249" s="1">
        <v>148.3</v>
      </c>
    </row>
    <row r="250" ht="14.25" customHeight="1">
      <c r="A250" s="1" t="s">
        <v>34</v>
      </c>
      <c r="B250" s="1">
        <v>2019.0</v>
      </c>
      <c r="C250" s="1" t="s">
        <v>46</v>
      </c>
      <c r="D250" s="1">
        <v>143.5</v>
      </c>
      <c r="E250" s="1">
        <v>165.0</v>
      </c>
      <c r="F250" s="1">
        <v>151.1</v>
      </c>
      <c r="G250" s="1">
        <v>148.3</v>
      </c>
      <c r="H250" s="1">
        <v>125.7</v>
      </c>
      <c r="I250" s="1">
        <v>145.7</v>
      </c>
      <c r="J250" s="1">
        <v>217.0</v>
      </c>
      <c r="K250" s="1">
        <v>138.3</v>
      </c>
      <c r="L250" s="1">
        <v>114.0</v>
      </c>
      <c r="M250" s="1">
        <v>148.7</v>
      </c>
      <c r="N250" s="1">
        <v>135.8</v>
      </c>
      <c r="O250" s="1">
        <v>158.0</v>
      </c>
      <c r="P250" s="1">
        <v>155.0</v>
      </c>
      <c r="Q250" s="1">
        <v>168.5</v>
      </c>
      <c r="R250" s="1">
        <v>150.3</v>
      </c>
      <c r="S250" s="1">
        <v>141.3</v>
      </c>
      <c r="T250" s="1">
        <v>149.0</v>
      </c>
      <c r="U250" s="1">
        <v>152.8</v>
      </c>
      <c r="V250" s="1">
        <v>143.7</v>
      </c>
      <c r="W250" s="1">
        <v>145.8</v>
      </c>
      <c r="X250" s="1">
        <v>150.4</v>
      </c>
      <c r="Y250" s="1">
        <v>129.8</v>
      </c>
      <c r="Z250" s="1">
        <v>142.3</v>
      </c>
      <c r="AA250" s="1">
        <v>155.7</v>
      </c>
      <c r="AB250" s="1">
        <v>140.4</v>
      </c>
      <c r="AC250" s="1">
        <v>142.5</v>
      </c>
      <c r="AD250" s="1">
        <v>150.4</v>
      </c>
    </row>
    <row r="251" ht="14.25" customHeight="1">
      <c r="A251" s="1" t="s">
        <v>30</v>
      </c>
      <c r="B251" s="1">
        <v>2020.0</v>
      </c>
      <c r="C251" s="1" t="s">
        <v>31</v>
      </c>
      <c r="D251" s="1">
        <v>143.7</v>
      </c>
      <c r="E251" s="1">
        <v>167.3</v>
      </c>
      <c r="F251" s="1">
        <v>153.5</v>
      </c>
      <c r="G251" s="1">
        <v>150.5</v>
      </c>
      <c r="H251" s="1">
        <v>132.0</v>
      </c>
      <c r="I251" s="1">
        <v>142.2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139.7</v>
      </c>
      <c r="O251" s="1">
        <v>158.7</v>
      </c>
      <c r="P251" s="1">
        <v>153.0</v>
      </c>
      <c r="Q251" s="1">
        <v>168.6</v>
      </c>
      <c r="R251" s="1">
        <v>152.8</v>
      </c>
      <c r="S251" s="1">
        <v>147.4</v>
      </c>
      <c r="T251" s="1">
        <v>152.1</v>
      </c>
      <c r="U251" s="1">
        <v>153.9</v>
      </c>
      <c r="V251" s="1">
        <v>150.4</v>
      </c>
      <c r="W251" s="1">
        <v>151.7</v>
      </c>
      <c r="X251" s="1">
        <v>155.7</v>
      </c>
      <c r="Y251" s="1">
        <v>136.3</v>
      </c>
      <c r="Z251" s="1">
        <v>150.1</v>
      </c>
      <c r="AA251" s="1">
        <v>161.7</v>
      </c>
      <c r="AB251" s="1">
        <v>142.5</v>
      </c>
      <c r="AC251" s="1">
        <v>148.1</v>
      </c>
      <c r="AD251" s="1">
        <v>151.9</v>
      </c>
    </row>
    <row r="252" ht="14.25" customHeight="1">
      <c r="A252" s="1" t="s">
        <v>33</v>
      </c>
      <c r="B252" s="1">
        <v>2020.0</v>
      </c>
      <c r="C252" s="1" t="s">
        <v>31</v>
      </c>
      <c r="D252" s="1">
        <v>145.6</v>
      </c>
      <c r="E252" s="1">
        <v>167.6</v>
      </c>
      <c r="F252" s="1">
        <v>157.0</v>
      </c>
      <c r="G252" s="1">
        <v>149.3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147.0</v>
      </c>
      <c r="S252" s="1">
        <v>133.2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</v>
      </c>
      <c r="Y252" s="1">
        <v>126.1</v>
      </c>
      <c r="Z252" s="1">
        <v>137.2</v>
      </c>
      <c r="AA252" s="1">
        <v>152.1</v>
      </c>
      <c r="AB252" s="1">
        <v>142.1</v>
      </c>
      <c r="AC252" s="1">
        <v>138.4</v>
      </c>
      <c r="AD252" s="1">
        <v>148.2</v>
      </c>
    </row>
    <row r="253" ht="14.25" customHeight="1">
      <c r="A253" s="1" t="s">
        <v>34</v>
      </c>
      <c r="B253" s="1">
        <v>2020.0</v>
      </c>
      <c r="C253" s="1" t="s">
        <v>31</v>
      </c>
      <c r="D253" s="1">
        <v>144.3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143.2</v>
      </c>
      <c r="J253" s="1">
        <v>197.0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149.2</v>
      </c>
      <c r="U253" s="1">
        <v>153.9</v>
      </c>
      <c r="V253" s="1">
        <v>144.6</v>
      </c>
      <c r="W253" s="1">
        <v>146.2</v>
      </c>
      <c r="X253" s="1">
        <v>151.2</v>
      </c>
      <c r="Y253" s="1">
        <v>130.9</v>
      </c>
      <c r="Z253" s="1">
        <v>142.8</v>
      </c>
      <c r="AA253" s="1">
        <v>156.1</v>
      </c>
      <c r="AB253" s="1">
        <v>142.3</v>
      </c>
      <c r="AC253" s="1">
        <v>143.4</v>
      </c>
      <c r="AD253" s="1">
        <v>150.2</v>
      </c>
    </row>
    <row r="254" ht="14.25" customHeight="1">
      <c r="A254" s="1" t="s">
        <v>30</v>
      </c>
      <c r="B254" s="1">
        <v>2020.0</v>
      </c>
      <c r="C254" s="1" t="s">
        <v>35</v>
      </c>
      <c r="D254" s="1">
        <v>144.2</v>
      </c>
      <c r="E254" s="1">
        <v>167.5</v>
      </c>
      <c r="F254" s="1">
        <v>150.9</v>
      </c>
      <c r="G254" s="1">
        <v>150.9</v>
      </c>
      <c r="H254" s="1">
        <v>133.7</v>
      </c>
      <c r="I254" s="1">
        <v>140.7</v>
      </c>
      <c r="J254" s="1">
        <v>165.1</v>
      </c>
      <c r="K254" s="1">
        <v>141.8</v>
      </c>
      <c r="L254" s="1">
        <v>113.1</v>
      </c>
      <c r="M254" s="1">
        <v>152.8</v>
      </c>
      <c r="N254" s="1">
        <v>140.1</v>
      </c>
      <c r="O254" s="1">
        <v>159.2</v>
      </c>
      <c r="P254" s="1">
        <v>149.8</v>
      </c>
      <c r="Q254" s="1">
        <v>169.4</v>
      </c>
      <c r="R254" s="1">
        <v>153.0</v>
      </c>
      <c r="S254" s="1">
        <v>147.5</v>
      </c>
      <c r="T254" s="1">
        <v>152.3</v>
      </c>
      <c r="U254" s="1">
        <v>154.8</v>
      </c>
      <c r="V254" s="1">
        <v>152.3</v>
      </c>
      <c r="W254" s="1">
        <v>151.8</v>
      </c>
      <c r="X254" s="1">
        <v>156.2</v>
      </c>
      <c r="Y254" s="1">
        <v>136.0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ht="14.25" customHeight="1">
      <c r="A255" s="1" t="s">
        <v>33</v>
      </c>
      <c r="B255" s="1">
        <v>2020.0</v>
      </c>
      <c r="C255" s="1" t="s">
        <v>35</v>
      </c>
      <c r="D255" s="1">
        <v>146.2</v>
      </c>
      <c r="E255" s="1">
        <v>167.6</v>
      </c>
      <c r="F255" s="1">
        <v>153.1</v>
      </c>
      <c r="G255" s="1">
        <v>150.7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159.0</v>
      </c>
      <c r="P255" s="1">
        <v>151.7</v>
      </c>
      <c r="Q255" s="1">
        <v>172.0</v>
      </c>
      <c r="R255" s="1">
        <v>147.3</v>
      </c>
      <c r="S255" s="1">
        <v>133.5</v>
      </c>
      <c r="T255" s="1">
        <v>145.2</v>
      </c>
      <c r="U255" s="1">
        <v>154.8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137.7</v>
      </c>
      <c r="AA255" s="1">
        <v>152.2</v>
      </c>
      <c r="AB255" s="1">
        <v>143.5</v>
      </c>
      <c r="AC255" s="1">
        <v>138.4</v>
      </c>
      <c r="AD255" s="1">
        <v>147.7</v>
      </c>
    </row>
    <row r="256" ht="14.25" customHeight="1">
      <c r="A256" s="1" t="s">
        <v>34</v>
      </c>
      <c r="B256" s="1">
        <v>2020.0</v>
      </c>
      <c r="C256" s="1" t="s">
        <v>35</v>
      </c>
      <c r="D256" s="1">
        <v>144.8</v>
      </c>
      <c r="E256" s="1">
        <v>167.5</v>
      </c>
      <c r="F256" s="1">
        <v>151.8</v>
      </c>
      <c r="G256" s="1">
        <v>150.8</v>
      </c>
      <c r="H256" s="1">
        <v>131.4</v>
      </c>
      <c r="I256" s="1">
        <v>141.8</v>
      </c>
      <c r="J256" s="1">
        <v>170.7</v>
      </c>
      <c r="K256" s="1">
        <v>141.1</v>
      </c>
      <c r="L256" s="1">
        <v>113.6</v>
      </c>
      <c r="M256" s="1">
        <v>152.0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</v>
      </c>
      <c r="S256" s="1">
        <v>141.7</v>
      </c>
      <c r="T256" s="1">
        <v>149.5</v>
      </c>
      <c r="U256" s="1">
        <v>154.8</v>
      </c>
      <c r="V256" s="1">
        <v>147.2</v>
      </c>
      <c r="W256" s="1">
        <v>146.4</v>
      </c>
      <c r="X256" s="1">
        <v>151.7</v>
      </c>
      <c r="Y256" s="1">
        <v>130.3</v>
      </c>
      <c r="Z256" s="1">
        <v>143.2</v>
      </c>
      <c r="AA256" s="1">
        <v>156.2</v>
      </c>
      <c r="AB256" s="1">
        <v>143.4</v>
      </c>
      <c r="AC256" s="1">
        <v>143.6</v>
      </c>
      <c r="AD256" s="1">
        <v>149.1</v>
      </c>
    </row>
    <row r="257" ht="14.25" customHeight="1">
      <c r="A257" s="1" t="s">
        <v>30</v>
      </c>
      <c r="B257" s="1">
        <v>2020.0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151.7</v>
      </c>
      <c r="H257" s="1">
        <v>133.3</v>
      </c>
      <c r="I257" s="1">
        <v>141.8</v>
      </c>
      <c r="J257" s="1">
        <v>152.3</v>
      </c>
      <c r="K257" s="1">
        <v>141.8</v>
      </c>
      <c r="L257" s="1">
        <v>112.6</v>
      </c>
      <c r="M257" s="1">
        <v>154.0</v>
      </c>
      <c r="N257" s="1">
        <v>140.1</v>
      </c>
      <c r="O257" s="1">
        <v>160.0</v>
      </c>
      <c r="P257" s="1">
        <v>148.2</v>
      </c>
      <c r="Q257" s="1">
        <v>170.5</v>
      </c>
      <c r="R257" s="1">
        <v>153.4</v>
      </c>
      <c r="S257" s="1">
        <v>147.6</v>
      </c>
      <c r="T257" s="1">
        <v>152.5</v>
      </c>
      <c r="U257" s="1">
        <v>154.5</v>
      </c>
      <c r="V257" s="1">
        <v>153.4</v>
      </c>
      <c r="W257" s="1">
        <v>151.5</v>
      </c>
      <c r="X257" s="1">
        <v>156.7</v>
      </c>
      <c r="Y257" s="1">
        <v>135.8</v>
      </c>
      <c r="Z257" s="1">
        <v>151.2</v>
      </c>
      <c r="AA257" s="1">
        <v>161.2</v>
      </c>
      <c r="AB257" s="1">
        <v>145.1</v>
      </c>
      <c r="AC257" s="1">
        <v>148.6</v>
      </c>
      <c r="AD257" s="1">
        <v>149.8</v>
      </c>
    </row>
    <row r="258" ht="14.25" customHeight="1">
      <c r="A258" s="1" t="s">
        <v>33</v>
      </c>
      <c r="B258" s="1">
        <v>2020.0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</v>
      </c>
      <c r="J258" s="1">
        <v>167.0</v>
      </c>
      <c r="K258" s="1">
        <v>139.7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147.7</v>
      </c>
      <c r="S258" s="1">
        <v>133.8</v>
      </c>
      <c r="T258" s="1">
        <v>145.6</v>
      </c>
      <c r="U258" s="1">
        <v>154.5</v>
      </c>
      <c r="V258" s="1">
        <v>141.4</v>
      </c>
      <c r="W258" s="1">
        <v>140.8</v>
      </c>
      <c r="X258" s="1">
        <v>145.0</v>
      </c>
      <c r="Y258" s="1">
        <v>124.6</v>
      </c>
      <c r="Z258" s="1">
        <v>137.9</v>
      </c>
      <c r="AA258" s="1">
        <v>152.5</v>
      </c>
      <c r="AB258" s="1">
        <v>145.3</v>
      </c>
      <c r="AC258" s="1">
        <v>138.7</v>
      </c>
      <c r="AD258" s="1">
        <v>147.3</v>
      </c>
    </row>
    <row r="259" ht="14.25" customHeight="1">
      <c r="A259" s="1" t="s">
        <v>34</v>
      </c>
      <c r="B259" s="1">
        <v>2020.0</v>
      </c>
      <c r="C259" s="1" t="s">
        <v>36</v>
      </c>
      <c r="D259" s="1">
        <v>145.1</v>
      </c>
      <c r="E259" s="1">
        <v>167.0</v>
      </c>
      <c r="F259" s="1">
        <v>148.1</v>
      </c>
      <c r="G259" s="1">
        <v>151.5</v>
      </c>
      <c r="H259" s="1">
        <v>131.2</v>
      </c>
      <c r="I259" s="1">
        <v>142.5</v>
      </c>
      <c r="J259" s="1">
        <v>157.3</v>
      </c>
      <c r="K259" s="1">
        <v>141.1</v>
      </c>
      <c r="L259" s="1">
        <v>113.2</v>
      </c>
      <c r="M259" s="1">
        <v>153.2</v>
      </c>
      <c r="N259" s="1">
        <v>136.7</v>
      </c>
      <c r="O259" s="1">
        <v>159.6</v>
      </c>
      <c r="P259" s="1">
        <v>148.9</v>
      </c>
      <c r="Q259" s="1">
        <v>171.2</v>
      </c>
      <c r="R259" s="1">
        <v>151.2</v>
      </c>
      <c r="S259" s="1">
        <v>141.9</v>
      </c>
      <c r="T259" s="1">
        <v>149.8</v>
      </c>
      <c r="U259" s="1">
        <v>154.5</v>
      </c>
      <c r="V259" s="1">
        <v>148.9</v>
      </c>
      <c r="W259" s="1">
        <v>146.4</v>
      </c>
      <c r="X259" s="1">
        <v>152.3</v>
      </c>
      <c r="Y259" s="1">
        <v>129.9</v>
      </c>
      <c r="Z259" s="1">
        <v>143.7</v>
      </c>
      <c r="AA259" s="1">
        <v>156.1</v>
      </c>
      <c r="AB259" s="1">
        <v>145.2</v>
      </c>
      <c r="AC259" s="1">
        <v>143.8</v>
      </c>
      <c r="AD259" s="1">
        <v>148.6</v>
      </c>
    </row>
    <row r="260" ht="14.25" customHeight="1">
      <c r="A260" s="1" t="s">
        <v>30</v>
      </c>
      <c r="B260" s="1">
        <v>2020.0</v>
      </c>
      <c r="C260" s="1" t="s">
        <v>37</v>
      </c>
      <c r="D260" s="1">
        <v>147.2</v>
      </c>
      <c r="E260" s="1">
        <v>167.2</v>
      </c>
      <c r="F260" s="1">
        <v>146.9</v>
      </c>
      <c r="G260" s="1">
        <v>155.6</v>
      </c>
      <c r="H260" s="1">
        <v>137.1</v>
      </c>
      <c r="I260" s="1">
        <v>147.3</v>
      </c>
      <c r="J260" s="1">
        <v>162.7</v>
      </c>
      <c r="K260" s="1">
        <v>150.2</v>
      </c>
      <c r="L260" s="1">
        <v>119.8</v>
      </c>
      <c r="M260" s="1">
        <v>158.7</v>
      </c>
      <c r="N260" s="1">
        <v>139.2</v>
      </c>
      <c r="O260" s="1">
        <v>151.0</v>
      </c>
      <c r="P260" s="1">
        <v>150.1</v>
      </c>
      <c r="Q260" s="1">
        <v>169.5</v>
      </c>
      <c r="R260" s="1">
        <v>153.1</v>
      </c>
      <c r="S260" s="1">
        <v>147.5</v>
      </c>
      <c r="T260" s="1">
        <v>152.3</v>
      </c>
      <c r="U260" s="1">
        <v>155.6</v>
      </c>
      <c r="V260" s="1">
        <v>148.4</v>
      </c>
      <c r="W260" s="1">
        <v>151.7</v>
      </c>
      <c r="X260" s="1">
        <v>154.3</v>
      </c>
      <c r="Y260" s="1">
        <v>136.0</v>
      </c>
      <c r="Z260" s="1">
        <v>150.6</v>
      </c>
      <c r="AA260" s="1">
        <v>161.6</v>
      </c>
      <c r="AB260" s="1">
        <v>143.7</v>
      </c>
      <c r="AC260" s="1">
        <v>148.4</v>
      </c>
      <c r="AD260" s="1">
        <v>150.7</v>
      </c>
    </row>
    <row r="261" ht="14.25" customHeight="1">
      <c r="A261" s="1" t="s">
        <v>33</v>
      </c>
      <c r="B261" s="1">
        <v>2020.0</v>
      </c>
      <c r="C261" s="1" t="s">
        <v>37</v>
      </c>
      <c r="D261" s="1">
        <v>151.8</v>
      </c>
      <c r="E261" s="1">
        <v>167.6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180.0</v>
      </c>
      <c r="K261" s="1">
        <v>150.8</v>
      </c>
      <c r="L261" s="1">
        <v>121.2</v>
      </c>
      <c r="M261" s="1">
        <v>154.0</v>
      </c>
      <c r="N261" s="1">
        <v>133.5</v>
      </c>
      <c r="O261" s="1">
        <v>150.4</v>
      </c>
      <c r="P261" s="1">
        <v>153.5</v>
      </c>
      <c r="Q261" s="1">
        <v>172.0</v>
      </c>
      <c r="R261" s="1">
        <v>147.3</v>
      </c>
      <c r="S261" s="1">
        <v>133.5</v>
      </c>
      <c r="T261" s="1">
        <v>145.2</v>
      </c>
      <c r="U261" s="1">
        <v>155.6</v>
      </c>
      <c r="V261" s="1">
        <v>137.1</v>
      </c>
      <c r="W261" s="1">
        <v>140.4</v>
      </c>
      <c r="X261" s="1">
        <v>144.8</v>
      </c>
      <c r="Y261" s="1">
        <v>125.3</v>
      </c>
      <c r="Z261" s="1">
        <v>137.6</v>
      </c>
      <c r="AA261" s="1">
        <v>152.3</v>
      </c>
      <c r="AB261" s="1">
        <v>143.6</v>
      </c>
      <c r="AC261" s="1">
        <v>138.5</v>
      </c>
      <c r="AD261" s="1">
        <v>147.7</v>
      </c>
    </row>
    <row r="262" ht="14.25" customHeight="1">
      <c r="A262" s="1" t="s">
        <v>34</v>
      </c>
      <c r="B262" s="1">
        <v>2020.0</v>
      </c>
      <c r="C262" s="1" t="s">
        <v>37</v>
      </c>
      <c r="D262" s="1">
        <v>148.7</v>
      </c>
      <c r="E262" s="1">
        <v>167.3</v>
      </c>
      <c r="F262" s="1">
        <v>148.8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</v>
      </c>
      <c r="O262" s="1">
        <v>150.8</v>
      </c>
      <c r="P262" s="1">
        <v>151.4</v>
      </c>
      <c r="Q262" s="1">
        <v>170.2</v>
      </c>
      <c r="R262" s="1">
        <v>150.8</v>
      </c>
      <c r="S262" s="1">
        <v>141.7</v>
      </c>
      <c r="T262" s="1">
        <v>149.5</v>
      </c>
      <c r="U262" s="1">
        <v>155.6</v>
      </c>
      <c r="V262" s="1">
        <v>144.1</v>
      </c>
      <c r="W262" s="1">
        <v>146.3</v>
      </c>
      <c r="X262" s="1">
        <v>150.7</v>
      </c>
      <c r="Y262" s="1">
        <v>130.4</v>
      </c>
      <c r="Z262" s="1">
        <v>143.2</v>
      </c>
      <c r="AA262" s="1">
        <v>156.1</v>
      </c>
      <c r="AB262" s="1">
        <v>143.6</v>
      </c>
      <c r="AC262" s="1">
        <v>143.6</v>
      </c>
      <c r="AD262" s="1">
        <v>149.3</v>
      </c>
    </row>
    <row r="263" ht="14.25" customHeight="1">
      <c r="A263" s="1" t="s">
        <v>30</v>
      </c>
      <c r="B263" s="1">
        <v>2020.0</v>
      </c>
      <c r="C263" s="1" t="s">
        <v>38</v>
      </c>
      <c r="D263" s="1">
        <v>145.3</v>
      </c>
      <c r="E263" s="1">
        <v>167.2</v>
      </c>
      <c r="F263" s="1">
        <v>148.5</v>
      </c>
      <c r="G263" s="1">
        <v>152.7</v>
      </c>
      <c r="H263" s="1">
        <v>134.7</v>
      </c>
      <c r="I263" s="1">
        <v>143.3</v>
      </c>
      <c r="J263" s="1">
        <v>160.0</v>
      </c>
      <c r="K263" s="1">
        <v>144.6</v>
      </c>
      <c r="L263" s="1">
        <v>115.2</v>
      </c>
      <c r="M263" s="1">
        <v>155.2</v>
      </c>
      <c r="N263" s="1">
        <v>139.8</v>
      </c>
      <c r="O263" s="1">
        <v>156.7</v>
      </c>
      <c r="P263" s="1">
        <v>149.4</v>
      </c>
      <c r="Q263" s="1">
        <v>169.8</v>
      </c>
      <c r="R263" s="1">
        <v>153.2</v>
      </c>
      <c r="S263" s="1">
        <v>147.5</v>
      </c>
      <c r="T263" s="1">
        <v>152.4</v>
      </c>
      <c r="U263" s="1">
        <v>155.0</v>
      </c>
      <c r="V263" s="1">
        <v>151.4</v>
      </c>
      <c r="W263" s="1">
        <v>151.7</v>
      </c>
      <c r="X263" s="1">
        <v>155.7</v>
      </c>
      <c r="Y263" s="1">
        <v>135.9</v>
      </c>
      <c r="Z263" s="1">
        <v>150.7</v>
      </c>
      <c r="AA263" s="1">
        <v>161.6</v>
      </c>
      <c r="AB263" s="1">
        <v>144.1</v>
      </c>
      <c r="AC263" s="1">
        <v>148.5</v>
      </c>
      <c r="AD263" s="1">
        <v>150.3</v>
      </c>
    </row>
    <row r="264" ht="14.25" customHeight="1">
      <c r="A264" s="1" t="s">
        <v>33</v>
      </c>
      <c r="B264" s="1">
        <v>2020.0</v>
      </c>
      <c r="C264" s="1" t="s">
        <v>38</v>
      </c>
      <c r="D264" s="1">
        <v>148.2</v>
      </c>
      <c r="E264" s="1">
        <v>167.6</v>
      </c>
      <c r="F264" s="1">
        <v>151.3</v>
      </c>
      <c r="G264" s="1">
        <v>152.4</v>
      </c>
      <c r="H264" s="1">
        <v>128.8</v>
      </c>
      <c r="I264" s="1">
        <v>146.4</v>
      </c>
      <c r="J264" s="1">
        <v>176.2</v>
      </c>
      <c r="K264" s="1">
        <v>143.4</v>
      </c>
      <c r="L264" s="1">
        <v>116.7</v>
      </c>
      <c r="M264" s="1">
        <v>152.0</v>
      </c>
      <c r="N264" s="1">
        <v>132.3</v>
      </c>
      <c r="O264" s="1">
        <v>156.2</v>
      </c>
      <c r="P264" s="1">
        <v>151.8</v>
      </c>
      <c r="Q264" s="1">
        <v>172.4</v>
      </c>
      <c r="R264" s="1">
        <v>147.4</v>
      </c>
      <c r="S264" s="1">
        <v>133.6</v>
      </c>
      <c r="T264" s="1">
        <v>145.3</v>
      </c>
      <c r="U264" s="1">
        <v>155.0</v>
      </c>
      <c r="V264" s="1">
        <v>139.1</v>
      </c>
      <c r="W264" s="1">
        <v>140.5</v>
      </c>
      <c r="X264" s="1">
        <v>144.7</v>
      </c>
      <c r="Y264" s="1">
        <v>125.0</v>
      </c>
      <c r="Z264" s="1">
        <v>137.7</v>
      </c>
      <c r="AA264" s="1">
        <v>152.3</v>
      </c>
      <c r="AB264" s="1">
        <v>144.1</v>
      </c>
      <c r="AC264" s="1">
        <v>138.5</v>
      </c>
      <c r="AD264" s="1">
        <v>147.6</v>
      </c>
    </row>
    <row r="265" ht="14.25" customHeight="1">
      <c r="A265" s="1" t="s">
        <v>34</v>
      </c>
      <c r="B265" s="1">
        <v>2020.0</v>
      </c>
      <c r="C265" s="1" t="s">
        <v>38</v>
      </c>
      <c r="D265" s="1">
        <v>146.2</v>
      </c>
      <c r="E265" s="1">
        <v>167.3</v>
      </c>
      <c r="F265" s="1">
        <v>149.6</v>
      </c>
      <c r="G265" s="1">
        <v>152.6</v>
      </c>
      <c r="H265" s="1">
        <v>132.6</v>
      </c>
      <c r="I265" s="1">
        <v>144.7</v>
      </c>
      <c r="J265" s="1">
        <v>165.5</v>
      </c>
      <c r="K265" s="1">
        <v>144.2</v>
      </c>
      <c r="L265" s="1">
        <v>115.7</v>
      </c>
      <c r="M265" s="1">
        <v>154.1</v>
      </c>
      <c r="N265" s="1">
        <v>136.7</v>
      </c>
      <c r="O265" s="1">
        <v>156.5</v>
      </c>
      <c r="P265" s="1">
        <v>150.3</v>
      </c>
      <c r="Q265" s="1">
        <v>170.5</v>
      </c>
      <c r="R265" s="1">
        <v>150.9</v>
      </c>
      <c r="S265" s="1">
        <v>141.8</v>
      </c>
      <c r="T265" s="1">
        <v>149.6</v>
      </c>
      <c r="U265" s="1">
        <v>155.0</v>
      </c>
      <c r="V265" s="1">
        <v>146.7</v>
      </c>
      <c r="W265" s="1">
        <v>146.4</v>
      </c>
      <c r="X265" s="1">
        <v>151.6</v>
      </c>
      <c r="Y265" s="1">
        <v>130.2</v>
      </c>
      <c r="Z265" s="1">
        <v>143.4</v>
      </c>
      <c r="AA265" s="1">
        <v>156.1</v>
      </c>
      <c r="AB265" s="1">
        <v>144.1</v>
      </c>
      <c r="AC265" s="1">
        <v>143.7</v>
      </c>
      <c r="AD265" s="1">
        <v>149.0</v>
      </c>
    </row>
    <row r="266" ht="14.25" customHeight="1">
      <c r="A266" s="1" t="s">
        <v>30</v>
      </c>
      <c r="B266" s="1">
        <v>2020.0</v>
      </c>
      <c r="C266" s="1" t="s">
        <v>39</v>
      </c>
      <c r="D266" s="1">
        <v>148.2</v>
      </c>
      <c r="E266" s="1">
        <v>190.3</v>
      </c>
      <c r="F266" s="1">
        <v>149.4</v>
      </c>
      <c r="G266" s="1">
        <v>153.3</v>
      </c>
      <c r="H266" s="1">
        <v>138.2</v>
      </c>
      <c r="I266" s="1">
        <v>143.2</v>
      </c>
      <c r="J266" s="1">
        <v>148.9</v>
      </c>
      <c r="K266" s="1">
        <v>150.3</v>
      </c>
      <c r="L266" s="1">
        <v>113.2</v>
      </c>
      <c r="M266" s="1">
        <v>159.8</v>
      </c>
      <c r="N266" s="1">
        <v>142.1</v>
      </c>
      <c r="O266" s="1">
        <v>161.8</v>
      </c>
      <c r="P266" s="1">
        <v>152.3</v>
      </c>
      <c r="Q266" s="1">
        <v>182.4</v>
      </c>
      <c r="R266" s="1">
        <v>154.7</v>
      </c>
      <c r="S266" s="1">
        <v>150.0</v>
      </c>
      <c r="T266" s="1">
        <v>154.1</v>
      </c>
      <c r="U266" s="1">
        <v>154.7</v>
      </c>
      <c r="V266" s="1">
        <v>144.9</v>
      </c>
      <c r="W266" s="1">
        <v>151.7</v>
      </c>
      <c r="X266" s="1">
        <v>158.2</v>
      </c>
      <c r="Y266" s="1">
        <v>141.4</v>
      </c>
      <c r="Z266" s="1">
        <v>153.2</v>
      </c>
      <c r="AA266" s="1">
        <v>161.8</v>
      </c>
      <c r="AB266" s="1">
        <v>151.2</v>
      </c>
      <c r="AC266" s="1">
        <v>151.7</v>
      </c>
      <c r="AD266" s="1">
        <v>152.7</v>
      </c>
    </row>
    <row r="267" ht="14.25" customHeight="1">
      <c r="A267" s="1" t="s">
        <v>33</v>
      </c>
      <c r="B267" s="1">
        <v>2020.0</v>
      </c>
      <c r="C267" s="1" t="s">
        <v>39</v>
      </c>
      <c r="D267" s="1">
        <v>152.7</v>
      </c>
      <c r="E267" s="1">
        <v>197.0</v>
      </c>
      <c r="F267" s="1">
        <v>154.6</v>
      </c>
      <c r="G267" s="1">
        <v>153.4</v>
      </c>
      <c r="H267" s="1">
        <v>132.9</v>
      </c>
      <c r="I267" s="1">
        <v>151.8</v>
      </c>
      <c r="J267" s="1">
        <v>171.2</v>
      </c>
      <c r="K267" s="1">
        <v>152.0</v>
      </c>
      <c r="L267" s="1">
        <v>116.3</v>
      </c>
      <c r="M267" s="1">
        <v>158.8</v>
      </c>
      <c r="N267" s="1">
        <v>135.6</v>
      </c>
      <c r="O267" s="1">
        <v>161.7</v>
      </c>
      <c r="P267" s="1">
        <v>157.0</v>
      </c>
      <c r="Q267" s="1">
        <v>186.7</v>
      </c>
      <c r="R267" s="1">
        <v>149.1</v>
      </c>
      <c r="S267" s="1">
        <v>136.6</v>
      </c>
      <c r="T267" s="1">
        <v>147.2</v>
      </c>
      <c r="U267" s="1">
        <v>154.7</v>
      </c>
      <c r="V267" s="1">
        <v>137.1</v>
      </c>
      <c r="W267" s="1">
        <v>140.4</v>
      </c>
      <c r="X267" s="1">
        <v>148.1</v>
      </c>
      <c r="Y267" s="1">
        <v>129.3</v>
      </c>
      <c r="Z267" s="1">
        <v>144.5</v>
      </c>
      <c r="AA267" s="1">
        <v>152.5</v>
      </c>
      <c r="AB267" s="1">
        <v>152.2</v>
      </c>
      <c r="AC267" s="1">
        <v>142.0</v>
      </c>
      <c r="AD267" s="1">
        <v>150.8</v>
      </c>
    </row>
    <row r="268" ht="14.25" customHeight="1">
      <c r="A268" s="1" t="s">
        <v>34</v>
      </c>
      <c r="B268" s="1">
        <v>2020.0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</v>
      </c>
      <c r="H268" s="1">
        <v>136.3</v>
      </c>
      <c r="I268" s="1">
        <v>147.2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</v>
      </c>
      <c r="P268" s="1">
        <v>154.0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154.7</v>
      </c>
      <c r="V268" s="1">
        <v>141.9</v>
      </c>
      <c r="W268" s="1">
        <v>146.4</v>
      </c>
      <c r="X268" s="1">
        <v>154.4</v>
      </c>
      <c r="Y268" s="1">
        <v>135.0</v>
      </c>
      <c r="Z268" s="1">
        <v>148.3</v>
      </c>
      <c r="AA268" s="1">
        <v>156.4</v>
      </c>
      <c r="AB268" s="1">
        <v>151.6</v>
      </c>
      <c r="AC268" s="1">
        <v>147.0</v>
      </c>
      <c r="AD268" s="1">
        <v>151.8</v>
      </c>
    </row>
    <row r="269" ht="14.25" customHeight="1">
      <c r="A269" s="1" t="s">
        <v>30</v>
      </c>
      <c r="B269" s="1">
        <v>2020.0</v>
      </c>
      <c r="C269" s="1" t="s">
        <v>40</v>
      </c>
      <c r="D269" s="1">
        <v>148.2</v>
      </c>
      <c r="E269" s="1">
        <v>190.3</v>
      </c>
      <c r="F269" s="1">
        <v>149.4</v>
      </c>
      <c r="G269" s="1">
        <v>153.3</v>
      </c>
      <c r="H269" s="1">
        <v>138.2</v>
      </c>
      <c r="I269" s="1">
        <v>143.2</v>
      </c>
      <c r="J269" s="1">
        <v>148.9</v>
      </c>
      <c r="K269" s="1">
        <v>150.3</v>
      </c>
      <c r="L269" s="1">
        <v>113.2</v>
      </c>
      <c r="M269" s="1">
        <v>159.8</v>
      </c>
      <c r="N269" s="1">
        <v>142.1</v>
      </c>
      <c r="O269" s="1">
        <v>161.8</v>
      </c>
      <c r="P269" s="1">
        <v>152.3</v>
      </c>
      <c r="Q269" s="1">
        <v>182.4</v>
      </c>
      <c r="R269" s="1">
        <v>154.7</v>
      </c>
      <c r="S269" s="1">
        <v>150.0</v>
      </c>
      <c r="T269" s="1">
        <v>154.1</v>
      </c>
      <c r="U269" s="1">
        <v>154.7</v>
      </c>
      <c r="V269" s="1">
        <v>144.9</v>
      </c>
      <c r="W269" s="1">
        <v>151.7</v>
      </c>
      <c r="X269" s="1">
        <v>158.2</v>
      </c>
      <c r="Y269" s="1">
        <v>141.4</v>
      </c>
      <c r="Z269" s="1">
        <v>153.2</v>
      </c>
      <c r="AA269" s="1">
        <v>161.8</v>
      </c>
      <c r="AB269" s="1">
        <v>151.2</v>
      </c>
      <c r="AC269" s="1">
        <v>151.7</v>
      </c>
      <c r="AD269" s="1">
        <v>152.7</v>
      </c>
    </row>
    <row r="270" ht="14.25" customHeight="1">
      <c r="A270" s="1" t="s">
        <v>33</v>
      </c>
      <c r="B270" s="1">
        <v>2020.0</v>
      </c>
      <c r="C270" s="1" t="s">
        <v>40</v>
      </c>
      <c r="D270" s="1">
        <v>152.7</v>
      </c>
      <c r="E270" s="1">
        <v>197.0</v>
      </c>
      <c r="F270" s="1">
        <v>154.6</v>
      </c>
      <c r="G270" s="1">
        <v>153.4</v>
      </c>
      <c r="H270" s="1">
        <v>132.9</v>
      </c>
      <c r="I270" s="1">
        <v>151.8</v>
      </c>
      <c r="J270" s="1">
        <v>171.2</v>
      </c>
      <c r="K270" s="1">
        <v>152.0</v>
      </c>
      <c r="L270" s="1">
        <v>116.3</v>
      </c>
      <c r="M270" s="1">
        <v>158.8</v>
      </c>
      <c r="N270" s="1">
        <v>135.6</v>
      </c>
      <c r="O270" s="1">
        <v>161.7</v>
      </c>
      <c r="P270" s="1">
        <v>157.0</v>
      </c>
      <c r="Q270" s="1">
        <v>186.7</v>
      </c>
      <c r="R270" s="1">
        <v>149.1</v>
      </c>
      <c r="S270" s="1">
        <v>136.6</v>
      </c>
      <c r="T270" s="1">
        <v>147.2</v>
      </c>
      <c r="U270" s="1">
        <v>154.7</v>
      </c>
      <c r="V270" s="1">
        <v>137.1</v>
      </c>
      <c r="W270" s="1">
        <v>140.4</v>
      </c>
      <c r="X270" s="1">
        <v>148.1</v>
      </c>
      <c r="Y270" s="1">
        <v>129.3</v>
      </c>
      <c r="Z270" s="1">
        <v>144.5</v>
      </c>
      <c r="AA270" s="1">
        <v>152.5</v>
      </c>
      <c r="AB270" s="1">
        <v>152.2</v>
      </c>
      <c r="AC270" s="1">
        <v>142.0</v>
      </c>
      <c r="AD270" s="1">
        <v>150.8</v>
      </c>
    </row>
    <row r="271" ht="14.25" customHeight="1">
      <c r="A271" s="1" t="s">
        <v>34</v>
      </c>
      <c r="B271" s="1">
        <v>2020.0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</v>
      </c>
      <c r="H271" s="1">
        <v>136.3</v>
      </c>
      <c r="I271" s="1">
        <v>147.2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</v>
      </c>
      <c r="P271" s="1">
        <v>154.0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154.7</v>
      </c>
      <c r="V271" s="1">
        <v>141.9</v>
      </c>
      <c r="W271" s="1">
        <v>146.4</v>
      </c>
      <c r="X271" s="1">
        <v>154.4</v>
      </c>
      <c r="Y271" s="1">
        <v>135.0</v>
      </c>
      <c r="Z271" s="1">
        <v>148.3</v>
      </c>
      <c r="AA271" s="1">
        <v>156.4</v>
      </c>
      <c r="AB271" s="1">
        <v>151.6</v>
      </c>
      <c r="AC271" s="1">
        <v>147.0</v>
      </c>
      <c r="AD271" s="1">
        <v>151.8</v>
      </c>
    </row>
    <row r="272" ht="14.25" customHeight="1">
      <c r="A272" s="1" t="s">
        <v>30</v>
      </c>
      <c r="B272" s="1">
        <v>2020.0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</v>
      </c>
      <c r="H272" s="1">
        <v>139.8</v>
      </c>
      <c r="I272" s="1">
        <v>146.9</v>
      </c>
      <c r="J272" s="1">
        <v>171.0</v>
      </c>
      <c r="K272" s="1">
        <v>149.9</v>
      </c>
      <c r="L272" s="1">
        <v>114.2</v>
      </c>
      <c r="M272" s="1">
        <v>160.0</v>
      </c>
      <c r="N272" s="1">
        <v>143.5</v>
      </c>
      <c r="O272" s="1">
        <v>161.5</v>
      </c>
      <c r="P272" s="1">
        <v>155.3</v>
      </c>
      <c r="Q272" s="1">
        <v>180.9</v>
      </c>
      <c r="R272" s="1">
        <v>155.1</v>
      </c>
      <c r="S272" s="1">
        <v>149.3</v>
      </c>
      <c r="T272" s="1">
        <v>154.3</v>
      </c>
      <c r="U272" s="1">
        <v>155.5</v>
      </c>
      <c r="V272" s="1">
        <v>145.8</v>
      </c>
      <c r="W272" s="1">
        <v>151.9</v>
      </c>
      <c r="X272" s="1">
        <v>158.8</v>
      </c>
      <c r="Y272" s="1">
        <v>143.6</v>
      </c>
      <c r="Z272" s="1">
        <v>152.2</v>
      </c>
      <c r="AA272" s="1">
        <v>162.7</v>
      </c>
      <c r="AB272" s="1">
        <v>153.6</v>
      </c>
      <c r="AC272" s="1">
        <v>153.0</v>
      </c>
      <c r="AD272" s="1">
        <v>154.7</v>
      </c>
    </row>
    <row r="273" ht="14.25" customHeight="1">
      <c r="A273" s="1" t="s">
        <v>33</v>
      </c>
      <c r="B273" s="1">
        <v>2020.0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</v>
      </c>
      <c r="L273" s="1">
        <v>116.8</v>
      </c>
      <c r="M273" s="1">
        <v>160.0</v>
      </c>
      <c r="N273" s="1">
        <v>136.5</v>
      </c>
      <c r="O273" s="1">
        <v>163.3</v>
      </c>
      <c r="P273" s="1">
        <v>159.9</v>
      </c>
      <c r="Q273" s="1">
        <v>187.2</v>
      </c>
      <c r="R273" s="1">
        <v>150.0</v>
      </c>
      <c r="S273" s="1">
        <v>135.2</v>
      </c>
      <c r="T273" s="1">
        <v>147.8</v>
      </c>
      <c r="U273" s="1">
        <v>155.5</v>
      </c>
      <c r="V273" s="1">
        <v>138.3</v>
      </c>
      <c r="W273" s="1">
        <v>144.5</v>
      </c>
      <c r="X273" s="1">
        <v>148.7</v>
      </c>
      <c r="Y273" s="1">
        <v>133.9</v>
      </c>
      <c r="Z273" s="1">
        <v>141.2</v>
      </c>
      <c r="AA273" s="1">
        <v>155.5</v>
      </c>
      <c r="AB273" s="1">
        <v>155.2</v>
      </c>
      <c r="AC273" s="1">
        <v>144.8</v>
      </c>
      <c r="AD273" s="1">
        <v>152.9</v>
      </c>
    </row>
    <row r="274" ht="14.25" customHeight="1">
      <c r="A274" s="1" t="s">
        <v>34</v>
      </c>
      <c r="B274" s="1">
        <v>2020.0</v>
      </c>
      <c r="C274" s="1" t="s">
        <v>41</v>
      </c>
      <c r="D274" s="1">
        <v>148.9</v>
      </c>
      <c r="E274" s="1">
        <v>190.9</v>
      </c>
      <c r="F274" s="1">
        <v>150.8</v>
      </c>
      <c r="G274" s="1">
        <v>153.3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160.0</v>
      </c>
      <c r="N274" s="1">
        <v>140.6</v>
      </c>
      <c r="O274" s="1">
        <v>162.3</v>
      </c>
      <c r="P274" s="1">
        <v>157.0</v>
      </c>
      <c r="Q274" s="1">
        <v>182.6</v>
      </c>
      <c r="R274" s="1">
        <v>153.1</v>
      </c>
      <c r="S274" s="1">
        <v>143.4</v>
      </c>
      <c r="T274" s="1">
        <v>151.7</v>
      </c>
      <c r="U274" s="1">
        <v>155.5</v>
      </c>
      <c r="V274" s="1">
        <v>143.0</v>
      </c>
      <c r="W274" s="1">
        <v>148.4</v>
      </c>
      <c r="X274" s="1">
        <v>155.0</v>
      </c>
      <c r="Y274" s="1">
        <v>138.5</v>
      </c>
      <c r="Z274" s="1">
        <v>146.0</v>
      </c>
      <c r="AA274" s="1">
        <v>158.5</v>
      </c>
      <c r="AB274" s="1">
        <v>154.3</v>
      </c>
      <c r="AC274" s="1">
        <v>149.0</v>
      </c>
      <c r="AD274" s="1">
        <v>153.9</v>
      </c>
    </row>
    <row r="275" ht="14.25" customHeight="1">
      <c r="A275" s="1" t="s">
        <v>30</v>
      </c>
      <c r="B275" s="1">
        <v>2020.0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147.0</v>
      </c>
      <c r="J275" s="1">
        <v>178.8</v>
      </c>
      <c r="K275" s="1">
        <v>149.3</v>
      </c>
      <c r="L275" s="1">
        <v>115.1</v>
      </c>
      <c r="M275" s="1">
        <v>160.0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>
        <v>156.3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</v>
      </c>
      <c r="AA275" s="1">
        <v>161.1</v>
      </c>
      <c r="AB275" s="1">
        <v>157.4</v>
      </c>
      <c r="AC275" s="1">
        <v>153.7</v>
      </c>
      <c r="AD275" s="1">
        <v>155.4</v>
      </c>
    </row>
    <row r="276" ht="14.25" customHeight="1">
      <c r="A276" s="1" t="s">
        <v>33</v>
      </c>
      <c r="B276" s="1">
        <v>2020.0</v>
      </c>
      <c r="C276" s="1" t="s">
        <v>42</v>
      </c>
      <c r="D276" s="1">
        <v>151.5</v>
      </c>
      <c r="E276" s="1">
        <v>193.1</v>
      </c>
      <c r="F276" s="1">
        <v>157.3</v>
      </c>
      <c r="G276" s="1">
        <v>153.9</v>
      </c>
      <c r="H276" s="1">
        <v>134.4</v>
      </c>
      <c r="I276" s="1">
        <v>155.4</v>
      </c>
      <c r="J276" s="1">
        <v>202.0</v>
      </c>
      <c r="K276" s="1">
        <v>150.8</v>
      </c>
      <c r="L276" s="1">
        <v>118.9</v>
      </c>
      <c r="M276" s="1">
        <v>160.9</v>
      </c>
      <c r="N276" s="1">
        <v>137.7</v>
      </c>
      <c r="O276" s="1">
        <v>164.4</v>
      </c>
      <c r="P276" s="1">
        <v>161.3</v>
      </c>
      <c r="Q276" s="1">
        <v>188.7</v>
      </c>
      <c r="R276" s="1">
        <v>150.2</v>
      </c>
      <c r="S276" s="1">
        <v>136.3</v>
      </c>
      <c r="T276" s="1">
        <v>148.1</v>
      </c>
      <c r="U276" s="1">
        <v>156.3</v>
      </c>
      <c r="V276" s="1">
        <v>137.2</v>
      </c>
      <c r="W276" s="1">
        <v>145.4</v>
      </c>
      <c r="X276" s="1">
        <v>150.0</v>
      </c>
      <c r="Y276" s="1">
        <v>135.1</v>
      </c>
      <c r="Z276" s="1">
        <v>141.8</v>
      </c>
      <c r="AA276" s="1">
        <v>154.9</v>
      </c>
      <c r="AB276" s="1">
        <v>159.8</v>
      </c>
      <c r="AC276" s="1">
        <v>146.0</v>
      </c>
      <c r="AD276" s="1">
        <v>154.0</v>
      </c>
    </row>
    <row r="277" ht="14.25" customHeight="1">
      <c r="A277" s="1" t="s">
        <v>34</v>
      </c>
      <c r="B277" s="1">
        <v>2020.0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138.2</v>
      </c>
      <c r="I277" s="1">
        <v>150.9</v>
      </c>
      <c r="J277" s="1">
        <v>186.7</v>
      </c>
      <c r="K277" s="1">
        <v>149.8</v>
      </c>
      <c r="L277" s="1">
        <v>116.4</v>
      </c>
      <c r="M277" s="1">
        <v>160.3</v>
      </c>
      <c r="N277" s="1">
        <v>142.2</v>
      </c>
      <c r="O277" s="1">
        <v>162.9</v>
      </c>
      <c r="P277" s="1">
        <v>158.0</v>
      </c>
      <c r="Q277" s="1">
        <v>184.4</v>
      </c>
      <c r="R277" s="1">
        <v>153.4</v>
      </c>
      <c r="S277" s="1">
        <v>144.3</v>
      </c>
      <c r="T277" s="1">
        <v>152.0</v>
      </c>
      <c r="U277" s="1">
        <v>156.3</v>
      </c>
      <c r="V277" s="1">
        <v>142.9</v>
      </c>
      <c r="W277" s="1">
        <v>148.7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150.0</v>
      </c>
      <c r="AD277" s="1">
        <v>154.7</v>
      </c>
    </row>
    <row r="278" ht="14.25" customHeight="1">
      <c r="A278" s="1" t="s">
        <v>30</v>
      </c>
      <c r="B278" s="1">
        <v>2020.0</v>
      </c>
      <c r="C278" s="1" t="s">
        <v>43</v>
      </c>
      <c r="D278" s="1">
        <v>146.0</v>
      </c>
      <c r="E278" s="1">
        <v>186.3</v>
      </c>
      <c r="F278" s="1">
        <v>159.2</v>
      </c>
      <c r="G278" s="1">
        <v>153.6</v>
      </c>
      <c r="H278" s="1">
        <v>142.6</v>
      </c>
      <c r="I278" s="1">
        <v>147.2</v>
      </c>
      <c r="J278" s="1">
        <v>200.6</v>
      </c>
      <c r="K278" s="1">
        <v>150.3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155.7</v>
      </c>
      <c r="S278" s="1">
        <v>150.6</v>
      </c>
      <c r="T278" s="1">
        <v>155.0</v>
      </c>
      <c r="U278" s="1">
        <v>156.5</v>
      </c>
      <c r="V278" s="1">
        <v>146.8</v>
      </c>
      <c r="W278" s="1">
        <v>152.0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156.2</v>
      </c>
      <c r="AC278" s="1">
        <v>154.3</v>
      </c>
      <c r="AD278" s="1">
        <v>157.5</v>
      </c>
    </row>
    <row r="279" ht="14.25" customHeight="1">
      <c r="A279" s="1" t="s">
        <v>33</v>
      </c>
      <c r="B279" s="1">
        <v>2020.0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153.7</v>
      </c>
      <c r="H279" s="1">
        <v>135.7</v>
      </c>
      <c r="I279" s="1">
        <v>155.7</v>
      </c>
      <c r="J279" s="1">
        <v>226.0</v>
      </c>
      <c r="K279" s="1">
        <v>152.2</v>
      </c>
      <c r="L279" s="1">
        <v>118.1</v>
      </c>
      <c r="M279" s="1">
        <v>161.3</v>
      </c>
      <c r="N279" s="1">
        <v>139.2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</v>
      </c>
      <c r="U279" s="1">
        <v>156.5</v>
      </c>
      <c r="V279" s="1">
        <v>137.1</v>
      </c>
      <c r="W279" s="1">
        <v>145.1</v>
      </c>
      <c r="X279" s="1">
        <v>151.0</v>
      </c>
      <c r="Y279" s="1">
        <v>135.4</v>
      </c>
      <c r="Z279" s="1">
        <v>142.0</v>
      </c>
      <c r="AA279" s="1">
        <v>155.7</v>
      </c>
      <c r="AB279" s="1">
        <v>158.1</v>
      </c>
      <c r="AC279" s="1">
        <v>146.2</v>
      </c>
      <c r="AD279" s="1">
        <v>155.2</v>
      </c>
    </row>
    <row r="280" ht="14.25" customHeight="1">
      <c r="A280" s="1" t="s">
        <v>34</v>
      </c>
      <c r="B280" s="1">
        <v>2020.0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151.2</v>
      </c>
      <c r="J280" s="1">
        <v>209.2</v>
      </c>
      <c r="K280" s="1">
        <v>150.9</v>
      </c>
      <c r="L280" s="1">
        <v>116.2</v>
      </c>
      <c r="M280" s="1">
        <v>161.0</v>
      </c>
      <c r="N280" s="1">
        <v>144.0</v>
      </c>
      <c r="O280" s="1">
        <v>163.2</v>
      </c>
      <c r="P280" s="1">
        <v>161.4</v>
      </c>
      <c r="Q280" s="1">
        <v>184.3</v>
      </c>
      <c r="R280" s="1">
        <v>153.7</v>
      </c>
      <c r="S280" s="1">
        <v>144.6</v>
      </c>
      <c r="T280" s="1">
        <v>152.3</v>
      </c>
      <c r="U280" s="1">
        <v>156.5</v>
      </c>
      <c r="V280" s="1">
        <v>143.1</v>
      </c>
      <c r="W280" s="1">
        <v>148.7</v>
      </c>
      <c r="X280" s="1">
        <v>156.3</v>
      </c>
      <c r="Y280" s="1">
        <v>140.6</v>
      </c>
      <c r="Z280" s="1">
        <v>146.5</v>
      </c>
      <c r="AA280" s="1">
        <v>158.5</v>
      </c>
      <c r="AB280" s="1">
        <v>157.0</v>
      </c>
      <c r="AC280" s="1">
        <v>150.4</v>
      </c>
      <c r="AD280" s="1">
        <v>156.4</v>
      </c>
    </row>
    <row r="281" ht="14.25" customHeight="1">
      <c r="A281" s="1" t="s">
        <v>30</v>
      </c>
      <c r="B281" s="1">
        <v>2020.0</v>
      </c>
      <c r="C281" s="1" t="s">
        <v>45</v>
      </c>
      <c r="D281" s="1">
        <v>145.4</v>
      </c>
      <c r="E281" s="1">
        <v>188.6</v>
      </c>
      <c r="F281" s="1">
        <v>171.6</v>
      </c>
      <c r="G281" s="1">
        <v>153.8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162.0</v>
      </c>
      <c r="N281" s="1">
        <v>150.0</v>
      </c>
      <c r="O281" s="1">
        <v>162.7</v>
      </c>
      <c r="P281" s="1">
        <v>163.4</v>
      </c>
      <c r="Q281" s="1">
        <v>183.4</v>
      </c>
      <c r="R281" s="1">
        <v>156.3</v>
      </c>
      <c r="S281" s="1">
        <v>151.0</v>
      </c>
      <c r="T281" s="1">
        <v>155.5</v>
      </c>
      <c r="U281" s="1">
        <v>158.0</v>
      </c>
      <c r="V281" s="1">
        <v>147.5</v>
      </c>
      <c r="W281" s="1">
        <v>152.8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156.2</v>
      </c>
      <c r="AC281" s="1">
        <v>154.5</v>
      </c>
      <c r="AD281" s="1">
        <v>159.8</v>
      </c>
    </row>
    <row r="282" ht="14.25" customHeight="1">
      <c r="A282" s="1" t="s">
        <v>33</v>
      </c>
      <c r="B282" s="1">
        <v>2020.0</v>
      </c>
      <c r="C282" s="1" t="s">
        <v>45</v>
      </c>
      <c r="D282" s="1">
        <v>149.7</v>
      </c>
      <c r="E282" s="1">
        <v>195.5</v>
      </c>
      <c r="F282" s="1">
        <v>176.9</v>
      </c>
      <c r="G282" s="1">
        <v>153.9</v>
      </c>
      <c r="H282" s="1">
        <v>138.0</v>
      </c>
      <c r="I282" s="1">
        <v>150.5</v>
      </c>
      <c r="J282" s="1">
        <v>245.3</v>
      </c>
      <c r="K282" s="1">
        <v>158.7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167.0</v>
      </c>
      <c r="Q282" s="1">
        <v>188.8</v>
      </c>
      <c r="R282" s="1">
        <v>151.1</v>
      </c>
      <c r="S282" s="1">
        <v>136.4</v>
      </c>
      <c r="T282" s="1">
        <v>148.8</v>
      </c>
      <c r="U282" s="1">
        <v>158.0</v>
      </c>
      <c r="V282" s="1">
        <v>137.3</v>
      </c>
      <c r="W282" s="1">
        <v>145.1</v>
      </c>
      <c r="X282" s="1">
        <v>152.0</v>
      </c>
      <c r="Y282" s="1">
        <v>135.2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156.7</v>
      </c>
    </row>
    <row r="283" ht="14.25" customHeight="1">
      <c r="A283" s="1" t="s">
        <v>34</v>
      </c>
      <c r="B283" s="1">
        <v>2020.0</v>
      </c>
      <c r="C283" s="1" t="s">
        <v>45</v>
      </c>
      <c r="D283" s="1">
        <v>146.8</v>
      </c>
      <c r="E283" s="1">
        <v>191.0</v>
      </c>
      <c r="F283" s="1">
        <v>173.6</v>
      </c>
      <c r="G283" s="1">
        <v>153.8</v>
      </c>
      <c r="H283" s="1">
        <v>142.7</v>
      </c>
      <c r="I283" s="1">
        <v>148.4</v>
      </c>
      <c r="J283" s="1">
        <v>230.0</v>
      </c>
      <c r="K283" s="1">
        <v>156.8</v>
      </c>
      <c r="L283" s="1">
        <v>115.7</v>
      </c>
      <c r="M283" s="1">
        <v>161.8</v>
      </c>
      <c r="N283" s="1">
        <v>146.5</v>
      </c>
      <c r="O283" s="1">
        <v>163.8</v>
      </c>
      <c r="P283" s="1">
        <v>164.7</v>
      </c>
      <c r="Q283" s="1">
        <v>184.8</v>
      </c>
      <c r="R283" s="1">
        <v>154.3</v>
      </c>
      <c r="S283" s="1">
        <v>144.9</v>
      </c>
      <c r="T283" s="1">
        <v>152.8</v>
      </c>
      <c r="U283" s="1">
        <v>158.0</v>
      </c>
      <c r="V283" s="1">
        <v>143.6</v>
      </c>
      <c r="W283" s="1">
        <v>149.2</v>
      </c>
      <c r="X283" s="1">
        <v>157.2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150.7</v>
      </c>
      <c r="AD283" s="1">
        <v>158.4</v>
      </c>
    </row>
    <row r="284" ht="14.25" customHeight="1">
      <c r="A284" s="1" t="s">
        <v>30</v>
      </c>
      <c r="B284" s="1">
        <v>2020.0</v>
      </c>
      <c r="C284" s="1" t="s">
        <v>46</v>
      </c>
      <c r="D284" s="1">
        <v>144.6</v>
      </c>
      <c r="E284" s="1">
        <v>188.5</v>
      </c>
      <c r="F284" s="1">
        <v>173.4</v>
      </c>
      <c r="G284" s="1">
        <v>154.0</v>
      </c>
      <c r="H284" s="1">
        <v>150.0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157.0</v>
      </c>
      <c r="S284" s="1">
        <v>151.6</v>
      </c>
      <c r="T284" s="1">
        <v>156.3</v>
      </c>
      <c r="U284" s="1">
        <v>158.4</v>
      </c>
      <c r="V284" s="1">
        <v>148.7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155.2</v>
      </c>
      <c r="AD284" s="1">
        <v>160.7</v>
      </c>
    </row>
    <row r="285" ht="14.25" customHeight="1">
      <c r="A285" s="1" t="s">
        <v>33</v>
      </c>
      <c r="B285" s="1">
        <v>2020.0</v>
      </c>
      <c r="C285" s="1" t="s">
        <v>46</v>
      </c>
      <c r="D285" s="1">
        <v>149.0</v>
      </c>
      <c r="E285" s="1">
        <v>195.7</v>
      </c>
      <c r="F285" s="1">
        <v>178.3</v>
      </c>
      <c r="G285" s="1">
        <v>154.2</v>
      </c>
      <c r="H285" s="1">
        <v>140.7</v>
      </c>
      <c r="I285" s="1">
        <v>149.7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</v>
      </c>
      <c r="O285" s="1">
        <v>166.1</v>
      </c>
      <c r="P285" s="1">
        <v>167.0</v>
      </c>
      <c r="Q285" s="1">
        <v>190.2</v>
      </c>
      <c r="R285" s="1">
        <v>151.9</v>
      </c>
      <c r="S285" s="1">
        <v>136.7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</v>
      </c>
      <c r="AA285" s="1">
        <v>156.9</v>
      </c>
      <c r="AB285" s="1">
        <v>157.9</v>
      </c>
      <c r="AC285" s="1">
        <v>146.9</v>
      </c>
      <c r="AD285" s="1">
        <v>156.9</v>
      </c>
    </row>
    <row r="286" ht="14.25" customHeight="1">
      <c r="A286" s="1" t="s">
        <v>34</v>
      </c>
      <c r="B286" s="1">
        <v>2020.0</v>
      </c>
      <c r="C286" s="1" t="s">
        <v>46</v>
      </c>
      <c r="D286" s="1">
        <v>146.0</v>
      </c>
      <c r="E286" s="1">
        <v>191.0</v>
      </c>
      <c r="F286" s="1">
        <v>175.3</v>
      </c>
      <c r="G286" s="1">
        <v>154.1</v>
      </c>
      <c r="H286" s="1">
        <v>146.6</v>
      </c>
      <c r="I286" s="1">
        <v>147.7</v>
      </c>
      <c r="J286" s="1">
        <v>230.5</v>
      </c>
      <c r="K286" s="1">
        <v>160.2</v>
      </c>
      <c r="L286" s="1">
        <v>115.3</v>
      </c>
      <c r="M286" s="1">
        <v>163.0</v>
      </c>
      <c r="N286" s="1">
        <v>149.2</v>
      </c>
      <c r="O286" s="1">
        <v>164.8</v>
      </c>
      <c r="P286" s="1">
        <v>165.4</v>
      </c>
      <c r="Q286" s="1">
        <v>185.4</v>
      </c>
      <c r="R286" s="1">
        <v>155.0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149.7</v>
      </c>
      <c r="X286" s="1">
        <v>158.3</v>
      </c>
      <c r="Y286" s="1">
        <v>140.7</v>
      </c>
      <c r="Z286" s="1">
        <v>148.5</v>
      </c>
      <c r="AA286" s="1">
        <v>159.4</v>
      </c>
      <c r="AB286" s="1">
        <v>157.1</v>
      </c>
      <c r="AC286" s="1">
        <v>151.2</v>
      </c>
      <c r="AD286" s="1">
        <v>158.9</v>
      </c>
    </row>
    <row r="287" ht="14.25" customHeight="1">
      <c r="A287" s="1" t="s">
        <v>30</v>
      </c>
      <c r="B287" s="1">
        <v>2021.0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154.0</v>
      </c>
      <c r="H287" s="1">
        <v>154.8</v>
      </c>
      <c r="I287" s="1">
        <v>147.0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</v>
      </c>
      <c r="U287" s="1">
        <v>157.7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156.2</v>
      </c>
      <c r="AC287" s="1">
        <v>155.9</v>
      </c>
      <c r="AD287" s="1">
        <v>158.5</v>
      </c>
    </row>
    <row r="288" ht="14.25" customHeight="1">
      <c r="A288" s="1" t="s">
        <v>33</v>
      </c>
      <c r="B288" s="1">
        <v>2021.0</v>
      </c>
      <c r="C288" s="1" t="s">
        <v>31</v>
      </c>
      <c r="D288" s="1">
        <v>148.0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163.0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</v>
      </c>
      <c r="T288" s="1">
        <v>150.2</v>
      </c>
      <c r="U288" s="1">
        <v>157.7</v>
      </c>
      <c r="V288" s="1">
        <v>142.9</v>
      </c>
      <c r="W288" s="1">
        <v>145.7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157.7</v>
      </c>
      <c r="AC288" s="1">
        <v>147.6</v>
      </c>
      <c r="AD288" s="1">
        <v>156.0</v>
      </c>
    </row>
    <row r="289" ht="14.25" customHeight="1">
      <c r="A289" s="1" t="s">
        <v>34</v>
      </c>
      <c r="B289" s="1">
        <v>2021.0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164.0</v>
      </c>
      <c r="N289" s="1">
        <v>151.8</v>
      </c>
      <c r="O289" s="1">
        <v>165.6</v>
      </c>
      <c r="P289" s="1">
        <v>161.0</v>
      </c>
      <c r="Q289" s="1">
        <v>186.5</v>
      </c>
      <c r="R289" s="1">
        <v>155.5</v>
      </c>
      <c r="S289" s="1">
        <v>146.1</v>
      </c>
      <c r="T289" s="1">
        <v>154.2</v>
      </c>
      <c r="U289" s="1">
        <v>157.7</v>
      </c>
      <c r="V289" s="1">
        <v>147.9</v>
      </c>
      <c r="W289" s="1">
        <v>150.0</v>
      </c>
      <c r="X289" s="1">
        <v>159.3</v>
      </c>
      <c r="Y289" s="1">
        <v>141.9</v>
      </c>
      <c r="Z289" s="1">
        <v>149.6</v>
      </c>
      <c r="AA289" s="1">
        <v>159.2</v>
      </c>
      <c r="AB289" s="1">
        <v>156.8</v>
      </c>
      <c r="AC289" s="1">
        <v>151.9</v>
      </c>
      <c r="AD289" s="1">
        <v>157.3</v>
      </c>
    </row>
    <row r="290" ht="14.25" customHeight="1">
      <c r="A290" s="1" t="s">
        <v>30</v>
      </c>
      <c r="B290" s="1">
        <v>2021.0</v>
      </c>
      <c r="C290" s="1" t="s">
        <v>35</v>
      </c>
      <c r="D290" s="1">
        <v>142.8</v>
      </c>
      <c r="E290" s="1">
        <v>184.0</v>
      </c>
      <c r="F290" s="1">
        <v>168.0</v>
      </c>
      <c r="G290" s="1">
        <v>154.4</v>
      </c>
      <c r="H290" s="1">
        <v>163.0</v>
      </c>
      <c r="I290" s="1">
        <v>147.8</v>
      </c>
      <c r="J290" s="1">
        <v>149.7</v>
      </c>
      <c r="K290" s="1">
        <v>158.3</v>
      </c>
      <c r="L290" s="1">
        <v>111.8</v>
      </c>
      <c r="M290" s="1">
        <v>165.0</v>
      </c>
      <c r="N290" s="1">
        <v>160.0</v>
      </c>
      <c r="O290" s="1">
        <v>165.8</v>
      </c>
      <c r="P290" s="1">
        <v>154.7</v>
      </c>
      <c r="Q290" s="1">
        <v>186.5</v>
      </c>
      <c r="R290" s="1">
        <v>159.1</v>
      </c>
      <c r="S290" s="1">
        <v>153.9</v>
      </c>
      <c r="T290" s="1">
        <v>158.4</v>
      </c>
      <c r="U290" s="1">
        <v>159.8</v>
      </c>
      <c r="V290" s="1">
        <v>154.4</v>
      </c>
      <c r="W290" s="1">
        <v>154.8</v>
      </c>
      <c r="X290" s="1">
        <v>164.3</v>
      </c>
      <c r="Y290" s="1">
        <v>150.2</v>
      </c>
      <c r="Z290" s="1">
        <v>157.0</v>
      </c>
      <c r="AA290" s="1">
        <v>163.6</v>
      </c>
      <c r="AB290" s="1">
        <v>155.2</v>
      </c>
      <c r="AC290" s="1">
        <v>157.2</v>
      </c>
      <c r="AD290" s="1">
        <v>156.7</v>
      </c>
    </row>
    <row r="291" ht="14.25" customHeight="1">
      <c r="A291" s="1" t="s">
        <v>33</v>
      </c>
      <c r="B291" s="1">
        <v>2021.0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154.0</v>
      </c>
      <c r="J291" s="1">
        <v>180.2</v>
      </c>
      <c r="K291" s="1">
        <v>159.8</v>
      </c>
      <c r="L291" s="1">
        <v>114.9</v>
      </c>
      <c r="M291" s="1">
        <v>162.5</v>
      </c>
      <c r="N291" s="1">
        <v>149.2</v>
      </c>
      <c r="O291" s="1">
        <v>169.4</v>
      </c>
      <c r="P291" s="1">
        <v>160.8</v>
      </c>
      <c r="Q291" s="1">
        <v>193.3</v>
      </c>
      <c r="R291" s="1">
        <v>154.2</v>
      </c>
      <c r="S291" s="1">
        <v>138.2</v>
      </c>
      <c r="T291" s="1">
        <v>151.8</v>
      </c>
      <c r="U291" s="1">
        <v>159.8</v>
      </c>
      <c r="V291" s="1">
        <v>149.1</v>
      </c>
      <c r="W291" s="1">
        <v>146.5</v>
      </c>
      <c r="X291" s="1">
        <v>156.3</v>
      </c>
      <c r="Y291" s="1">
        <v>140.5</v>
      </c>
      <c r="Z291" s="1">
        <v>147.3</v>
      </c>
      <c r="AA291" s="1">
        <v>156.6</v>
      </c>
      <c r="AB291" s="1">
        <v>156.7</v>
      </c>
      <c r="AC291" s="1">
        <v>149.3</v>
      </c>
      <c r="AD291" s="1">
        <v>156.5</v>
      </c>
    </row>
    <row r="292" ht="14.25" customHeight="1">
      <c r="A292" s="1" t="s">
        <v>34</v>
      </c>
      <c r="B292" s="1">
        <v>2021.0</v>
      </c>
      <c r="C292" s="1" t="s">
        <v>35</v>
      </c>
      <c r="D292" s="1">
        <v>144.3</v>
      </c>
      <c r="E292" s="1">
        <v>186.5</v>
      </c>
      <c r="F292" s="1">
        <v>168.7</v>
      </c>
      <c r="G292" s="1">
        <v>154.7</v>
      </c>
      <c r="H292" s="1">
        <v>158.7</v>
      </c>
      <c r="I292" s="1">
        <v>150.7</v>
      </c>
      <c r="J292" s="1">
        <v>160.0</v>
      </c>
      <c r="K292" s="1">
        <v>158.8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157.2</v>
      </c>
      <c r="S292" s="1">
        <v>147.4</v>
      </c>
      <c r="T292" s="1">
        <v>155.8</v>
      </c>
      <c r="U292" s="1">
        <v>159.8</v>
      </c>
      <c r="V292" s="1">
        <v>152.4</v>
      </c>
      <c r="W292" s="1">
        <v>150.9</v>
      </c>
      <c r="X292" s="1">
        <v>161.3</v>
      </c>
      <c r="Y292" s="1">
        <v>145.1</v>
      </c>
      <c r="Z292" s="1">
        <v>151.5</v>
      </c>
      <c r="AA292" s="1">
        <v>159.5</v>
      </c>
      <c r="AB292" s="1">
        <v>155.8</v>
      </c>
      <c r="AC292" s="1">
        <v>153.4</v>
      </c>
      <c r="AD292" s="1">
        <v>156.6</v>
      </c>
    </row>
    <row r="293" ht="14.25" customHeight="1">
      <c r="A293" s="1" t="s">
        <v>30</v>
      </c>
      <c r="B293" s="1">
        <v>2021.0</v>
      </c>
      <c r="C293" s="1" t="s">
        <v>36</v>
      </c>
      <c r="D293" s="1">
        <v>142.5</v>
      </c>
      <c r="E293" s="1">
        <v>189.4</v>
      </c>
      <c r="F293" s="1">
        <v>163.2</v>
      </c>
      <c r="G293" s="1">
        <v>154.5</v>
      </c>
      <c r="H293" s="1">
        <v>168.2</v>
      </c>
      <c r="I293" s="1">
        <v>150.5</v>
      </c>
      <c r="J293" s="1">
        <v>141.0</v>
      </c>
      <c r="K293" s="1">
        <v>159.2</v>
      </c>
      <c r="L293" s="1">
        <v>111.7</v>
      </c>
      <c r="M293" s="1">
        <v>164.0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>
        <v>159.9</v>
      </c>
      <c r="V293" s="1">
        <v>156.0</v>
      </c>
      <c r="W293" s="1">
        <v>154.8</v>
      </c>
      <c r="X293" s="1">
        <v>164.6</v>
      </c>
      <c r="Y293" s="1">
        <v>151.3</v>
      </c>
      <c r="Z293" s="1">
        <v>157.8</v>
      </c>
      <c r="AA293" s="1">
        <v>163.8</v>
      </c>
      <c r="AB293" s="1">
        <v>153.1</v>
      </c>
      <c r="AC293" s="1">
        <v>157.3</v>
      </c>
      <c r="AD293" s="1">
        <v>156.7</v>
      </c>
    </row>
    <row r="294" ht="14.25" customHeight="1">
      <c r="A294" s="1" t="s">
        <v>33</v>
      </c>
      <c r="B294" s="1">
        <v>2021.0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150.7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138.7</v>
      </c>
      <c r="T294" s="1">
        <v>152.6</v>
      </c>
      <c r="U294" s="1">
        <v>159.9</v>
      </c>
      <c r="V294" s="1">
        <v>154.8</v>
      </c>
      <c r="W294" s="1">
        <v>147.2</v>
      </c>
      <c r="X294" s="1">
        <v>156.9</v>
      </c>
      <c r="Y294" s="1">
        <v>141.7</v>
      </c>
      <c r="Z294" s="1">
        <v>148.6</v>
      </c>
      <c r="AA294" s="1">
        <v>157.6</v>
      </c>
      <c r="AB294" s="1">
        <v>154.9</v>
      </c>
      <c r="AC294" s="1">
        <v>150.0</v>
      </c>
      <c r="AD294" s="1">
        <v>156.9</v>
      </c>
    </row>
    <row r="295" ht="14.25" customHeight="1">
      <c r="A295" s="1" t="s">
        <v>34</v>
      </c>
      <c r="B295" s="1">
        <v>2021.0</v>
      </c>
      <c r="C295" s="1" t="s">
        <v>36</v>
      </c>
      <c r="D295" s="1">
        <v>144.1</v>
      </c>
      <c r="E295" s="1">
        <v>192.2</v>
      </c>
      <c r="F295" s="1">
        <v>163.8</v>
      </c>
      <c r="G295" s="1">
        <v>154.9</v>
      </c>
      <c r="H295" s="1">
        <v>163.9</v>
      </c>
      <c r="I295" s="1">
        <v>153.7</v>
      </c>
      <c r="J295" s="1">
        <v>149.5</v>
      </c>
      <c r="K295" s="1">
        <v>159.8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156.7</v>
      </c>
      <c r="Q295" s="1">
        <v>188.1</v>
      </c>
      <c r="R295" s="1">
        <v>157.8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151.2</v>
      </c>
      <c r="X295" s="1">
        <v>161.7</v>
      </c>
      <c r="Y295" s="1">
        <v>146.2</v>
      </c>
      <c r="Z295" s="1">
        <v>152.6</v>
      </c>
      <c r="AA295" s="1">
        <v>160.2</v>
      </c>
      <c r="AB295" s="1">
        <v>153.8</v>
      </c>
      <c r="AC295" s="1">
        <v>153.8</v>
      </c>
      <c r="AD295" s="1">
        <v>156.8</v>
      </c>
    </row>
    <row r="296" ht="14.25" customHeight="1">
      <c r="A296" s="1" t="s">
        <v>30</v>
      </c>
      <c r="B296" s="1">
        <v>2021.0</v>
      </c>
      <c r="C296" s="1" t="s">
        <v>37</v>
      </c>
      <c r="D296" s="1">
        <v>142.7</v>
      </c>
      <c r="E296" s="1">
        <v>195.5</v>
      </c>
      <c r="F296" s="1">
        <v>163.4</v>
      </c>
      <c r="G296" s="1">
        <v>155.0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160.7</v>
      </c>
      <c r="S296" s="1">
        <v>155.1</v>
      </c>
      <c r="T296" s="1">
        <v>159.9</v>
      </c>
      <c r="U296" s="1">
        <v>161.4</v>
      </c>
      <c r="V296" s="1">
        <v>156.0</v>
      </c>
      <c r="W296" s="1">
        <v>155.5</v>
      </c>
      <c r="X296" s="1">
        <v>165.3</v>
      </c>
      <c r="Y296" s="1">
        <v>151.7</v>
      </c>
      <c r="Z296" s="1">
        <v>158.6</v>
      </c>
      <c r="AA296" s="1">
        <v>164.1</v>
      </c>
      <c r="AB296" s="1">
        <v>154.6</v>
      </c>
      <c r="AC296" s="1">
        <v>158.0</v>
      </c>
      <c r="AD296" s="1">
        <v>157.6</v>
      </c>
    </row>
    <row r="297" ht="14.25" customHeight="1">
      <c r="A297" s="1" t="s">
        <v>33</v>
      </c>
      <c r="B297" s="1">
        <v>2021.0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156.0</v>
      </c>
      <c r="H297" s="1">
        <v>161.4</v>
      </c>
      <c r="I297" s="1">
        <v>168.8</v>
      </c>
      <c r="J297" s="1">
        <v>161.6</v>
      </c>
      <c r="K297" s="1">
        <v>162.8</v>
      </c>
      <c r="L297" s="1">
        <v>114.8</v>
      </c>
      <c r="M297" s="1">
        <v>162.8</v>
      </c>
      <c r="N297" s="1">
        <v>151.5</v>
      </c>
      <c r="O297" s="1">
        <v>171.4</v>
      </c>
      <c r="P297" s="1">
        <v>162.0</v>
      </c>
      <c r="Q297" s="1">
        <v>194.4</v>
      </c>
      <c r="R297" s="1">
        <v>155.9</v>
      </c>
      <c r="S297" s="1">
        <v>139.3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158.0</v>
      </c>
    </row>
    <row r="298" ht="14.25" customHeight="1">
      <c r="A298" s="1" t="s">
        <v>34</v>
      </c>
      <c r="B298" s="1">
        <v>2021.0</v>
      </c>
      <c r="C298" s="1" t="s">
        <v>37</v>
      </c>
      <c r="D298" s="1">
        <v>144.3</v>
      </c>
      <c r="E298" s="1">
        <v>198.0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161.7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158.0</v>
      </c>
      <c r="Q298" s="1">
        <v>188.8</v>
      </c>
      <c r="R298" s="1">
        <v>158.8</v>
      </c>
      <c r="S298" s="1">
        <v>148.5</v>
      </c>
      <c r="T298" s="1">
        <v>157.3</v>
      </c>
      <c r="U298" s="1">
        <v>161.4</v>
      </c>
      <c r="V298" s="1">
        <v>155.6</v>
      </c>
      <c r="W298" s="1">
        <v>151.8</v>
      </c>
      <c r="X298" s="1">
        <v>162.3</v>
      </c>
      <c r="Y298" s="1">
        <v>146.6</v>
      </c>
      <c r="Z298" s="1">
        <v>153.2</v>
      </c>
      <c r="AA298" s="1">
        <v>160.3</v>
      </c>
      <c r="AB298" s="1">
        <v>155.4</v>
      </c>
      <c r="AC298" s="1">
        <v>154.4</v>
      </c>
      <c r="AD298" s="1">
        <v>157.8</v>
      </c>
    </row>
    <row r="299" ht="14.25" customHeight="1">
      <c r="A299" s="1" t="s">
        <v>30</v>
      </c>
      <c r="B299" s="1">
        <v>2021.0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</v>
      </c>
      <c r="H299" s="1">
        <v>184.4</v>
      </c>
      <c r="I299" s="1">
        <v>162.3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158.7</v>
      </c>
      <c r="Q299" s="1">
        <v>189.6</v>
      </c>
      <c r="R299" s="1">
        <v>165.3</v>
      </c>
      <c r="S299" s="1">
        <v>160.6</v>
      </c>
      <c r="T299" s="1">
        <v>164.5</v>
      </c>
      <c r="U299" s="1">
        <v>161.6</v>
      </c>
      <c r="V299" s="1">
        <v>161.7</v>
      </c>
      <c r="W299" s="1">
        <v>158.8</v>
      </c>
      <c r="X299" s="1">
        <v>169.1</v>
      </c>
      <c r="Y299" s="1">
        <v>153.2</v>
      </c>
      <c r="Z299" s="1">
        <v>160.0</v>
      </c>
      <c r="AA299" s="1">
        <v>167.6</v>
      </c>
      <c r="AB299" s="1">
        <v>159.3</v>
      </c>
      <c r="AC299" s="1">
        <v>161.1</v>
      </c>
      <c r="AD299" s="1">
        <v>161.1</v>
      </c>
    </row>
    <row r="300" ht="14.25" customHeight="1">
      <c r="A300" s="1" t="s">
        <v>33</v>
      </c>
      <c r="B300" s="1">
        <v>2021.0</v>
      </c>
      <c r="C300" s="1" t="s">
        <v>38</v>
      </c>
      <c r="D300" s="1">
        <v>148.8</v>
      </c>
      <c r="E300" s="1">
        <v>204.3</v>
      </c>
      <c r="F300" s="1">
        <v>173.0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152.0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140.2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145.0</v>
      </c>
      <c r="Z300" s="1">
        <v>152.6</v>
      </c>
      <c r="AA300" s="1">
        <v>156.6</v>
      </c>
      <c r="AB300" s="1">
        <v>157.5</v>
      </c>
      <c r="AC300" s="1">
        <v>152.3</v>
      </c>
      <c r="AD300" s="1">
        <v>159.5</v>
      </c>
    </row>
    <row r="301" ht="14.25" customHeight="1">
      <c r="A301" s="1" t="s">
        <v>34</v>
      </c>
      <c r="B301" s="1">
        <v>2021.0</v>
      </c>
      <c r="C301" s="1" t="s">
        <v>38</v>
      </c>
      <c r="D301" s="1">
        <v>146.3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</v>
      </c>
      <c r="O301" s="1">
        <v>170.4</v>
      </c>
      <c r="P301" s="1">
        <v>160.7</v>
      </c>
      <c r="Q301" s="1">
        <v>191.9</v>
      </c>
      <c r="R301" s="1">
        <v>161.8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154.7</v>
      </c>
      <c r="X301" s="1">
        <v>165.8</v>
      </c>
      <c r="Y301" s="1">
        <v>148.9</v>
      </c>
      <c r="Z301" s="1">
        <v>155.8</v>
      </c>
      <c r="AA301" s="1">
        <v>161.2</v>
      </c>
      <c r="AB301" s="1">
        <v>158.6</v>
      </c>
      <c r="AC301" s="1">
        <v>156.8</v>
      </c>
      <c r="AD301" s="1">
        <v>160.4</v>
      </c>
    </row>
    <row r="302" ht="14.25" customHeight="1">
      <c r="A302" s="1" t="s">
        <v>30</v>
      </c>
      <c r="B302" s="1">
        <v>2021.0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144.7</v>
      </c>
      <c r="K302" s="1">
        <v>165.5</v>
      </c>
      <c r="L302" s="1">
        <v>114.6</v>
      </c>
      <c r="M302" s="1">
        <v>170.0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>
        <v>160.5</v>
      </c>
      <c r="V302" s="1">
        <v>162.1</v>
      </c>
      <c r="W302" s="1">
        <v>159.2</v>
      </c>
      <c r="X302" s="1">
        <v>169.7</v>
      </c>
      <c r="Y302" s="1">
        <v>154.2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ht="14.25" customHeight="1">
      <c r="A303" s="1" t="s">
        <v>33</v>
      </c>
      <c r="B303" s="1">
        <v>2021.0</v>
      </c>
      <c r="C303" s="1" t="s">
        <v>39</v>
      </c>
      <c r="D303" s="1">
        <v>149.2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</v>
      </c>
      <c r="O303" s="1">
        <v>173.3</v>
      </c>
      <c r="P303" s="1">
        <v>166.2</v>
      </c>
      <c r="Q303" s="1">
        <v>195.6</v>
      </c>
      <c r="R303" s="1">
        <v>157.3</v>
      </c>
      <c r="S303" s="1">
        <v>140.5</v>
      </c>
      <c r="T303" s="1">
        <v>154.8</v>
      </c>
      <c r="U303" s="1">
        <v>160.5</v>
      </c>
      <c r="V303" s="1">
        <v>156.1</v>
      </c>
      <c r="W303" s="1">
        <v>149.8</v>
      </c>
      <c r="X303" s="1">
        <v>160.8</v>
      </c>
      <c r="Y303" s="1">
        <v>147.5</v>
      </c>
      <c r="Z303" s="1">
        <v>150.7</v>
      </c>
      <c r="AA303" s="1">
        <v>158.1</v>
      </c>
      <c r="AB303" s="1">
        <v>158.0</v>
      </c>
      <c r="AC303" s="1">
        <v>153.4</v>
      </c>
      <c r="AD303" s="1">
        <v>160.4</v>
      </c>
    </row>
    <row r="304" ht="14.25" customHeight="1">
      <c r="A304" s="1" t="s">
        <v>34</v>
      </c>
      <c r="B304" s="1">
        <v>2021.0</v>
      </c>
      <c r="C304" s="1" t="s">
        <v>39</v>
      </c>
      <c r="D304" s="1">
        <v>146.7</v>
      </c>
      <c r="E304" s="1">
        <v>202.0</v>
      </c>
      <c r="F304" s="1">
        <v>180.7</v>
      </c>
      <c r="G304" s="1">
        <v>156.2</v>
      </c>
      <c r="H304" s="1">
        <v>183.7</v>
      </c>
      <c r="I304" s="1">
        <v>164.6</v>
      </c>
      <c r="J304" s="1">
        <v>155.4</v>
      </c>
      <c r="K304" s="1">
        <v>166.0</v>
      </c>
      <c r="L304" s="1">
        <v>115.1</v>
      </c>
      <c r="M304" s="1">
        <v>168.5</v>
      </c>
      <c r="N304" s="1">
        <v>160.0</v>
      </c>
      <c r="O304" s="1">
        <v>172.4</v>
      </c>
      <c r="P304" s="1">
        <v>162.6</v>
      </c>
      <c r="Q304" s="1">
        <v>190.8</v>
      </c>
      <c r="R304" s="1">
        <v>162.2</v>
      </c>
      <c r="S304" s="1">
        <v>151.8</v>
      </c>
      <c r="T304" s="1">
        <v>160.7</v>
      </c>
      <c r="U304" s="1">
        <v>160.5</v>
      </c>
      <c r="V304" s="1">
        <v>159.8</v>
      </c>
      <c r="W304" s="1">
        <v>154.8</v>
      </c>
      <c r="X304" s="1">
        <v>166.3</v>
      </c>
      <c r="Y304" s="1">
        <v>150.7</v>
      </c>
      <c r="Z304" s="1">
        <v>154.9</v>
      </c>
      <c r="AA304" s="1">
        <v>161.7</v>
      </c>
      <c r="AB304" s="1">
        <v>158.8</v>
      </c>
      <c r="AC304" s="1">
        <v>157.6</v>
      </c>
      <c r="AD304" s="1">
        <v>161.3</v>
      </c>
    </row>
    <row r="305" ht="14.25" customHeight="1">
      <c r="A305" s="1" t="s">
        <v>30</v>
      </c>
      <c r="B305" s="1">
        <v>2021.0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157.7</v>
      </c>
      <c r="J305" s="1">
        <v>152.8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171.0</v>
      </c>
      <c r="P305" s="1">
        <v>161.7</v>
      </c>
      <c r="Q305" s="1">
        <v>189.7</v>
      </c>
      <c r="R305" s="1">
        <v>166.0</v>
      </c>
      <c r="S305" s="1">
        <v>161.1</v>
      </c>
      <c r="T305" s="1">
        <v>165.3</v>
      </c>
      <c r="U305" s="1">
        <v>161.5</v>
      </c>
      <c r="V305" s="1">
        <v>162.5</v>
      </c>
      <c r="W305" s="1">
        <v>160.3</v>
      </c>
      <c r="X305" s="1">
        <v>170.4</v>
      </c>
      <c r="Y305" s="1">
        <v>157.1</v>
      </c>
      <c r="Z305" s="1">
        <v>160.7</v>
      </c>
      <c r="AA305" s="1">
        <v>167.2</v>
      </c>
      <c r="AB305" s="1">
        <v>160.4</v>
      </c>
      <c r="AC305" s="1">
        <v>162.8</v>
      </c>
      <c r="AD305" s="1">
        <v>163.2</v>
      </c>
    </row>
    <row r="306" ht="14.25" customHeight="1">
      <c r="A306" s="1" t="s">
        <v>33</v>
      </c>
      <c r="B306" s="1">
        <v>2021.0</v>
      </c>
      <c r="C306" s="1" t="s">
        <v>40</v>
      </c>
      <c r="D306" s="1">
        <v>149.1</v>
      </c>
      <c r="E306" s="1">
        <v>210.9</v>
      </c>
      <c r="F306" s="1">
        <v>185.0</v>
      </c>
      <c r="G306" s="1">
        <v>158.2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157.7</v>
      </c>
      <c r="W306" s="1">
        <v>150.7</v>
      </c>
      <c r="X306" s="1">
        <v>161.5</v>
      </c>
      <c r="Y306" s="1">
        <v>149.5</v>
      </c>
      <c r="Z306" s="1">
        <v>151.2</v>
      </c>
      <c r="AA306" s="1">
        <v>160.3</v>
      </c>
      <c r="AB306" s="1">
        <v>159.6</v>
      </c>
      <c r="AC306" s="1">
        <v>155.0</v>
      </c>
      <c r="AD306" s="1">
        <v>161.8</v>
      </c>
    </row>
    <row r="307" ht="14.25" customHeight="1">
      <c r="A307" s="1" t="s">
        <v>34</v>
      </c>
      <c r="B307" s="1">
        <v>2021.0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164.0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164.0</v>
      </c>
      <c r="Q307" s="1">
        <v>191.2</v>
      </c>
      <c r="R307" s="1">
        <v>162.8</v>
      </c>
      <c r="S307" s="1">
        <v>153.1</v>
      </c>
      <c r="T307" s="1">
        <v>161.4</v>
      </c>
      <c r="U307" s="1">
        <v>161.5</v>
      </c>
      <c r="V307" s="1">
        <v>160.7</v>
      </c>
      <c r="W307" s="1">
        <v>155.8</v>
      </c>
      <c r="X307" s="1">
        <v>167.0</v>
      </c>
      <c r="Y307" s="1">
        <v>153.1</v>
      </c>
      <c r="Z307" s="1">
        <v>155.3</v>
      </c>
      <c r="AA307" s="1">
        <v>163.2</v>
      </c>
      <c r="AB307" s="1">
        <v>160.1</v>
      </c>
      <c r="AC307" s="1">
        <v>159.0</v>
      </c>
      <c r="AD307" s="1">
        <v>162.5</v>
      </c>
    </row>
    <row r="308" ht="14.25" customHeight="1">
      <c r="A308" s="1" t="s">
        <v>30</v>
      </c>
      <c r="B308" s="1">
        <v>2021.0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155.7</v>
      </c>
      <c r="J308" s="1">
        <v>153.9</v>
      </c>
      <c r="K308" s="1">
        <v>162.8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</v>
      </c>
      <c r="Q308" s="1">
        <v>190.2</v>
      </c>
      <c r="R308" s="1">
        <v>167.0</v>
      </c>
      <c r="S308" s="1">
        <v>162.6</v>
      </c>
      <c r="T308" s="1">
        <v>166.3</v>
      </c>
      <c r="U308" s="1">
        <v>162.1</v>
      </c>
      <c r="V308" s="1">
        <v>163.1</v>
      </c>
      <c r="W308" s="1">
        <v>160.9</v>
      </c>
      <c r="X308" s="1">
        <v>171.1</v>
      </c>
      <c r="Y308" s="1">
        <v>157.7</v>
      </c>
      <c r="Z308" s="1">
        <v>161.1</v>
      </c>
      <c r="AA308" s="1">
        <v>167.5</v>
      </c>
      <c r="AB308" s="1">
        <v>160.3</v>
      </c>
      <c r="AC308" s="1">
        <v>163.3</v>
      </c>
      <c r="AD308" s="1">
        <v>163.6</v>
      </c>
    </row>
    <row r="309" ht="14.25" customHeight="1">
      <c r="A309" s="1" t="s">
        <v>33</v>
      </c>
      <c r="B309" s="1">
        <v>2021.0</v>
      </c>
      <c r="C309" s="1" t="s">
        <v>41</v>
      </c>
      <c r="D309" s="1">
        <v>149.3</v>
      </c>
      <c r="E309" s="1">
        <v>207.4</v>
      </c>
      <c r="F309" s="1">
        <v>174.1</v>
      </c>
      <c r="G309" s="1">
        <v>159.2</v>
      </c>
      <c r="H309" s="1">
        <v>175.0</v>
      </c>
      <c r="I309" s="1">
        <v>161.3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</v>
      </c>
      <c r="O309" s="1">
        <v>175.1</v>
      </c>
      <c r="P309" s="1">
        <v>167.3</v>
      </c>
      <c r="Q309" s="1">
        <v>196.5</v>
      </c>
      <c r="R309" s="1">
        <v>159.8</v>
      </c>
      <c r="S309" s="1">
        <v>143.6</v>
      </c>
      <c r="T309" s="1">
        <v>157.3</v>
      </c>
      <c r="U309" s="1">
        <v>162.1</v>
      </c>
      <c r="V309" s="1">
        <v>160.7</v>
      </c>
      <c r="W309" s="1">
        <v>153.2</v>
      </c>
      <c r="X309" s="1">
        <v>162.8</v>
      </c>
      <c r="Y309" s="1">
        <v>150.4</v>
      </c>
      <c r="Z309" s="1">
        <v>153.7</v>
      </c>
      <c r="AA309" s="1">
        <v>160.4</v>
      </c>
      <c r="AB309" s="1">
        <v>159.6</v>
      </c>
      <c r="AC309" s="1">
        <v>156.0</v>
      </c>
      <c r="AD309" s="1">
        <v>162.3</v>
      </c>
    </row>
    <row r="310" ht="14.25" customHeight="1">
      <c r="A310" s="1" t="s">
        <v>34</v>
      </c>
      <c r="B310" s="1">
        <v>2021.0</v>
      </c>
      <c r="C310" s="1" t="s">
        <v>41</v>
      </c>
      <c r="D310" s="1">
        <v>146.6</v>
      </c>
      <c r="E310" s="1">
        <v>204.0</v>
      </c>
      <c r="F310" s="1">
        <v>172.8</v>
      </c>
      <c r="G310" s="1">
        <v>158.4</v>
      </c>
      <c r="H310" s="1">
        <v>188.0</v>
      </c>
      <c r="I310" s="1">
        <v>156.8</v>
      </c>
      <c r="J310" s="1">
        <v>162.2</v>
      </c>
      <c r="K310" s="1">
        <v>164.1</v>
      </c>
      <c r="L310" s="1">
        <v>119.7</v>
      </c>
      <c r="M310" s="1">
        <v>168.8</v>
      </c>
      <c r="N310" s="1">
        <v>162.7</v>
      </c>
      <c r="O310" s="1">
        <v>173.9</v>
      </c>
      <c r="P310" s="1">
        <v>164.0</v>
      </c>
      <c r="Q310" s="1">
        <v>192.1</v>
      </c>
      <c r="R310" s="1">
        <v>164.5</v>
      </c>
      <c r="S310" s="1">
        <v>155.3</v>
      </c>
      <c r="T310" s="1">
        <v>163.2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154.0</v>
      </c>
      <c r="Z310" s="1">
        <v>157.6</v>
      </c>
      <c r="AA310" s="1">
        <v>163.8</v>
      </c>
      <c r="AB310" s="1">
        <v>160.0</v>
      </c>
      <c r="AC310" s="1">
        <v>160.0</v>
      </c>
      <c r="AD310" s="1">
        <v>163.2</v>
      </c>
    </row>
    <row r="311" ht="14.25" customHeight="1">
      <c r="A311" s="1" t="s">
        <v>30</v>
      </c>
      <c r="B311" s="1">
        <v>2021.0</v>
      </c>
      <c r="C311" s="1" t="s">
        <v>42</v>
      </c>
      <c r="D311" s="1">
        <v>145.4</v>
      </c>
      <c r="E311" s="1">
        <v>202.1</v>
      </c>
      <c r="F311" s="1">
        <v>172.0</v>
      </c>
      <c r="G311" s="1">
        <v>158.0</v>
      </c>
      <c r="H311" s="1">
        <v>195.5</v>
      </c>
      <c r="I311" s="1">
        <v>152.7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>
        <v>162.1</v>
      </c>
      <c r="V311" s="1">
        <v>163.7</v>
      </c>
      <c r="W311" s="1">
        <v>161.3</v>
      </c>
      <c r="X311" s="1">
        <v>171.9</v>
      </c>
      <c r="Y311" s="1">
        <v>157.8</v>
      </c>
      <c r="Z311" s="1">
        <v>162.7</v>
      </c>
      <c r="AA311" s="1">
        <v>168.5</v>
      </c>
      <c r="AB311" s="1">
        <v>160.2</v>
      </c>
      <c r="AC311" s="1">
        <v>163.8</v>
      </c>
      <c r="AD311" s="1">
        <v>164.0</v>
      </c>
    </row>
    <row r="312" ht="14.25" customHeight="1">
      <c r="A312" s="1" t="s">
        <v>33</v>
      </c>
      <c r="B312" s="1">
        <v>2021.0</v>
      </c>
      <c r="C312" s="1" t="s">
        <v>42</v>
      </c>
      <c r="D312" s="1">
        <v>149.3</v>
      </c>
      <c r="E312" s="1">
        <v>207.4</v>
      </c>
      <c r="F312" s="1">
        <v>174.1</v>
      </c>
      <c r="G312" s="1">
        <v>159.1</v>
      </c>
      <c r="H312" s="1">
        <v>175.0</v>
      </c>
      <c r="I312" s="1">
        <v>161.2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</v>
      </c>
      <c r="O312" s="1">
        <v>175.1</v>
      </c>
      <c r="P312" s="1">
        <v>167.3</v>
      </c>
      <c r="Q312" s="1">
        <v>196.5</v>
      </c>
      <c r="R312" s="1">
        <v>159.8</v>
      </c>
      <c r="S312" s="1">
        <v>143.6</v>
      </c>
      <c r="T312" s="1">
        <v>157.4</v>
      </c>
      <c r="U312" s="1">
        <v>162.1</v>
      </c>
      <c r="V312" s="1">
        <v>160.8</v>
      </c>
      <c r="W312" s="1">
        <v>153.3</v>
      </c>
      <c r="X312" s="1">
        <v>162.8</v>
      </c>
      <c r="Y312" s="1">
        <v>150.5</v>
      </c>
      <c r="Z312" s="1">
        <v>153.9</v>
      </c>
      <c r="AA312" s="1">
        <v>160.3</v>
      </c>
      <c r="AB312" s="1">
        <v>159.6</v>
      </c>
      <c r="AC312" s="1">
        <v>156.0</v>
      </c>
      <c r="AD312" s="1">
        <v>162.3</v>
      </c>
    </row>
    <row r="313" ht="14.25" customHeight="1">
      <c r="A313" s="1" t="s">
        <v>34</v>
      </c>
      <c r="B313" s="1">
        <v>2021.0</v>
      </c>
      <c r="C313" s="1" t="s">
        <v>42</v>
      </c>
      <c r="D313" s="1">
        <v>146.6</v>
      </c>
      <c r="E313" s="1">
        <v>204.0</v>
      </c>
      <c r="F313" s="1">
        <v>172.8</v>
      </c>
      <c r="G313" s="1">
        <v>158.4</v>
      </c>
      <c r="H313" s="1">
        <v>188.0</v>
      </c>
      <c r="I313" s="1">
        <v>156.7</v>
      </c>
      <c r="J313" s="1">
        <v>162.3</v>
      </c>
      <c r="K313" s="1">
        <v>164.1</v>
      </c>
      <c r="L313" s="1">
        <v>119.7</v>
      </c>
      <c r="M313" s="1">
        <v>168.8</v>
      </c>
      <c r="N313" s="1">
        <v>162.7</v>
      </c>
      <c r="O313" s="1">
        <v>173.9</v>
      </c>
      <c r="P313" s="1">
        <v>164.0</v>
      </c>
      <c r="Q313" s="1">
        <v>192.1</v>
      </c>
      <c r="R313" s="1">
        <v>164.6</v>
      </c>
      <c r="S313" s="1">
        <v>155.3</v>
      </c>
      <c r="T313" s="1">
        <v>163.3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154.0</v>
      </c>
      <c r="Z313" s="1">
        <v>157.7</v>
      </c>
      <c r="AA313" s="1">
        <v>163.7</v>
      </c>
      <c r="AB313" s="1">
        <v>160.0</v>
      </c>
      <c r="AC313" s="1">
        <v>160.0</v>
      </c>
      <c r="AD313" s="1">
        <v>163.2</v>
      </c>
    </row>
    <row r="314" ht="14.25" customHeight="1">
      <c r="A314" s="1" t="s">
        <v>30</v>
      </c>
      <c r="B314" s="1">
        <v>2021.0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>
        <v>163.6</v>
      </c>
      <c r="V314" s="1">
        <v>165.5</v>
      </c>
      <c r="W314" s="1">
        <v>162.0</v>
      </c>
      <c r="X314" s="1">
        <v>172.5</v>
      </c>
      <c r="Y314" s="1">
        <v>159.5</v>
      </c>
      <c r="Z314" s="1">
        <v>163.2</v>
      </c>
      <c r="AA314" s="1">
        <v>169.0</v>
      </c>
      <c r="AB314" s="1">
        <v>161.1</v>
      </c>
      <c r="AC314" s="1">
        <v>164.7</v>
      </c>
      <c r="AD314" s="1">
        <v>166.3</v>
      </c>
    </row>
    <row r="315" ht="14.25" customHeight="1">
      <c r="A315" s="1" t="s">
        <v>33</v>
      </c>
      <c r="B315" s="1">
        <v>2021.0</v>
      </c>
      <c r="C315" s="1" t="s">
        <v>43</v>
      </c>
      <c r="D315" s="1">
        <v>150.1</v>
      </c>
      <c r="E315" s="1">
        <v>208.4</v>
      </c>
      <c r="F315" s="1">
        <v>173.0</v>
      </c>
      <c r="G315" s="1">
        <v>159.2</v>
      </c>
      <c r="H315" s="1">
        <v>176.6</v>
      </c>
      <c r="I315" s="1">
        <v>159.3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197.0</v>
      </c>
      <c r="R315" s="1">
        <v>160.8</v>
      </c>
      <c r="S315" s="1">
        <v>144.4</v>
      </c>
      <c r="T315" s="1">
        <v>158.3</v>
      </c>
      <c r="U315" s="1">
        <v>163.6</v>
      </c>
      <c r="V315" s="1">
        <v>162.2</v>
      </c>
      <c r="W315" s="1">
        <v>154.3</v>
      </c>
      <c r="X315" s="1">
        <v>163.5</v>
      </c>
      <c r="Y315" s="1">
        <v>152.2</v>
      </c>
      <c r="Z315" s="1">
        <v>155.1</v>
      </c>
      <c r="AA315" s="1">
        <v>160.3</v>
      </c>
      <c r="AB315" s="1">
        <v>160.3</v>
      </c>
      <c r="AC315" s="1">
        <v>157.0</v>
      </c>
      <c r="AD315" s="1">
        <v>164.6</v>
      </c>
    </row>
    <row r="316" ht="14.25" customHeight="1">
      <c r="A316" s="1" t="s">
        <v>34</v>
      </c>
      <c r="B316" s="1">
        <v>2021.0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158.7</v>
      </c>
      <c r="H316" s="1">
        <v>190.6</v>
      </c>
      <c r="I316" s="1">
        <v>155.7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163.2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155.7</v>
      </c>
      <c r="Z316" s="1">
        <v>158.6</v>
      </c>
      <c r="AA316" s="1">
        <v>163.9</v>
      </c>
      <c r="AB316" s="1">
        <v>160.8</v>
      </c>
      <c r="AC316" s="1">
        <v>161.0</v>
      </c>
      <c r="AD316" s="1">
        <v>165.5</v>
      </c>
    </row>
    <row r="317" ht="14.25" customHeight="1">
      <c r="A317" s="1" t="s">
        <v>30</v>
      </c>
      <c r="B317" s="1">
        <v>2021.0</v>
      </c>
      <c r="C317" s="1" t="s">
        <v>45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153.2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166.0</v>
      </c>
      <c r="T317" s="1">
        <v>169.8</v>
      </c>
      <c r="U317" s="1">
        <v>164.2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</v>
      </c>
      <c r="AA317" s="1">
        <v>169.3</v>
      </c>
      <c r="AB317" s="1">
        <v>162.4</v>
      </c>
      <c r="AC317" s="1">
        <v>165.2</v>
      </c>
      <c r="AD317" s="1">
        <v>167.6</v>
      </c>
    </row>
    <row r="318" ht="14.25" customHeight="1">
      <c r="A318" s="1" t="s">
        <v>33</v>
      </c>
      <c r="B318" s="1">
        <v>2021.0</v>
      </c>
      <c r="C318" s="1" t="s">
        <v>45</v>
      </c>
      <c r="D318" s="1">
        <v>151.0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197.0</v>
      </c>
      <c r="R318" s="1">
        <v>162.3</v>
      </c>
      <c r="S318" s="1">
        <v>145.3</v>
      </c>
      <c r="T318" s="1">
        <v>159.7</v>
      </c>
      <c r="U318" s="1">
        <v>164.2</v>
      </c>
      <c r="V318" s="1">
        <v>161.6</v>
      </c>
      <c r="W318" s="1">
        <v>155.2</v>
      </c>
      <c r="X318" s="1">
        <v>164.2</v>
      </c>
      <c r="Y318" s="1">
        <v>151.2</v>
      </c>
      <c r="Z318" s="1">
        <v>156.7</v>
      </c>
      <c r="AA318" s="1">
        <v>160.8</v>
      </c>
      <c r="AB318" s="1">
        <v>161.8</v>
      </c>
      <c r="AC318" s="1">
        <v>157.3</v>
      </c>
      <c r="AD318" s="1">
        <v>165.6</v>
      </c>
    </row>
    <row r="319" ht="14.25" customHeight="1">
      <c r="A319" s="1" t="s">
        <v>34</v>
      </c>
      <c r="B319" s="1">
        <v>2021.0</v>
      </c>
      <c r="C319" s="1" t="s">
        <v>45</v>
      </c>
      <c r="D319" s="1">
        <v>148.2</v>
      </c>
      <c r="E319" s="1">
        <v>201.6</v>
      </c>
      <c r="F319" s="1">
        <v>173.0</v>
      </c>
      <c r="G319" s="1">
        <v>159.3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163.7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</v>
      </c>
      <c r="X319" s="1">
        <v>169.9</v>
      </c>
      <c r="Y319" s="1">
        <v>154.8</v>
      </c>
      <c r="Z319" s="1">
        <v>159.8</v>
      </c>
      <c r="AA319" s="1">
        <v>164.3</v>
      </c>
      <c r="AB319" s="1">
        <v>162.2</v>
      </c>
      <c r="AC319" s="1">
        <v>161.4</v>
      </c>
      <c r="AD319" s="1">
        <v>166.7</v>
      </c>
    </row>
    <row r="320" ht="14.25" customHeight="1">
      <c r="A320" s="1" t="s">
        <v>30</v>
      </c>
      <c r="B320" s="1">
        <v>2021.0</v>
      </c>
      <c r="C320" s="1" t="s">
        <v>46</v>
      </c>
      <c r="D320" s="1">
        <v>147.4</v>
      </c>
      <c r="E320" s="1">
        <v>197.0</v>
      </c>
      <c r="F320" s="1">
        <v>176.5</v>
      </c>
      <c r="G320" s="1">
        <v>159.8</v>
      </c>
      <c r="H320" s="1">
        <v>195.8</v>
      </c>
      <c r="I320" s="1">
        <v>152.0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>
        <v>163.4</v>
      </c>
      <c r="V320" s="1">
        <v>165.6</v>
      </c>
      <c r="W320" s="1">
        <v>163.9</v>
      </c>
      <c r="X320" s="1">
        <v>174.0</v>
      </c>
      <c r="Y320" s="1">
        <v>160.1</v>
      </c>
      <c r="Z320" s="1">
        <v>164.5</v>
      </c>
      <c r="AA320" s="1">
        <v>169.7</v>
      </c>
      <c r="AB320" s="1">
        <v>162.8</v>
      </c>
      <c r="AC320" s="1">
        <v>166.0</v>
      </c>
      <c r="AD320" s="1">
        <v>167.0</v>
      </c>
    </row>
    <row r="321" ht="14.25" customHeight="1">
      <c r="A321" s="1" t="s">
        <v>33</v>
      </c>
      <c r="B321" s="1">
        <v>2021.0</v>
      </c>
      <c r="C321" s="1" t="s">
        <v>46</v>
      </c>
      <c r="D321" s="1">
        <v>151.6</v>
      </c>
      <c r="E321" s="1">
        <v>202.2</v>
      </c>
      <c r="F321" s="1">
        <v>180.0</v>
      </c>
      <c r="G321" s="1">
        <v>160.0</v>
      </c>
      <c r="H321" s="1">
        <v>173.5</v>
      </c>
      <c r="I321" s="1">
        <v>158.3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</v>
      </c>
      <c r="S321" s="1">
        <v>146.7</v>
      </c>
      <c r="T321" s="1">
        <v>160.7</v>
      </c>
      <c r="U321" s="1">
        <v>163.4</v>
      </c>
      <c r="V321" s="1">
        <v>161.7</v>
      </c>
      <c r="W321" s="1">
        <v>156.0</v>
      </c>
      <c r="X321" s="1">
        <v>165.1</v>
      </c>
      <c r="Y321" s="1">
        <v>151.8</v>
      </c>
      <c r="Z321" s="1">
        <v>157.6</v>
      </c>
      <c r="AA321" s="1">
        <v>160.6</v>
      </c>
      <c r="AB321" s="1">
        <v>162.4</v>
      </c>
      <c r="AC321" s="1">
        <v>157.8</v>
      </c>
      <c r="AD321" s="1">
        <v>165.2</v>
      </c>
    </row>
    <row r="322" ht="14.25" customHeight="1">
      <c r="A322" s="1" t="s">
        <v>34</v>
      </c>
      <c r="B322" s="1">
        <v>2021.0</v>
      </c>
      <c r="C322" s="1" t="s">
        <v>46</v>
      </c>
      <c r="D322" s="1">
        <v>148.7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121.0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158.7</v>
      </c>
      <c r="T322" s="1">
        <v>167.0</v>
      </c>
      <c r="U322" s="1">
        <v>163.4</v>
      </c>
      <c r="V322" s="1">
        <v>164.1</v>
      </c>
      <c r="W322" s="1">
        <v>160.2</v>
      </c>
      <c r="X322" s="1">
        <v>170.6</v>
      </c>
      <c r="Y322" s="1">
        <v>155.7</v>
      </c>
      <c r="Z322" s="1">
        <v>160.6</v>
      </c>
      <c r="AA322" s="1">
        <v>164.4</v>
      </c>
      <c r="AB322" s="1">
        <v>162.6</v>
      </c>
      <c r="AC322" s="1">
        <v>162.0</v>
      </c>
      <c r="AD322" s="1">
        <v>166.2</v>
      </c>
    </row>
    <row r="323" ht="14.25" customHeight="1">
      <c r="A323" s="1" t="s">
        <v>30</v>
      </c>
      <c r="B323" s="1">
        <v>2022.0</v>
      </c>
      <c r="C323" s="1" t="s">
        <v>31</v>
      </c>
      <c r="D323" s="1">
        <v>148.3</v>
      </c>
      <c r="E323" s="1">
        <v>196.9</v>
      </c>
      <c r="F323" s="1">
        <v>178.0</v>
      </c>
      <c r="G323" s="1">
        <v>160.5</v>
      </c>
      <c r="H323" s="1">
        <v>192.6</v>
      </c>
      <c r="I323" s="1">
        <v>151.2</v>
      </c>
      <c r="J323" s="1">
        <v>159.2</v>
      </c>
      <c r="K323" s="1">
        <v>164.0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>
        <v>164.5</v>
      </c>
      <c r="V323" s="1">
        <v>165.8</v>
      </c>
      <c r="W323" s="1">
        <v>164.9</v>
      </c>
      <c r="X323" s="1">
        <v>174.7</v>
      </c>
      <c r="Y323" s="1">
        <v>160.8</v>
      </c>
      <c r="Z323" s="1">
        <v>164.9</v>
      </c>
      <c r="AA323" s="1">
        <v>169.9</v>
      </c>
      <c r="AB323" s="1">
        <v>163.2</v>
      </c>
      <c r="AC323" s="1">
        <v>166.6</v>
      </c>
      <c r="AD323" s="1">
        <v>166.4</v>
      </c>
    </row>
    <row r="324" ht="14.25" customHeight="1">
      <c r="A324" s="1" t="s">
        <v>33</v>
      </c>
      <c r="B324" s="1">
        <v>2022.0</v>
      </c>
      <c r="C324" s="1" t="s">
        <v>31</v>
      </c>
      <c r="D324" s="1">
        <v>152.2</v>
      </c>
      <c r="E324" s="1">
        <v>202.1</v>
      </c>
      <c r="F324" s="1">
        <v>180.1</v>
      </c>
      <c r="G324" s="1">
        <v>160.4</v>
      </c>
      <c r="H324" s="1">
        <v>171.0</v>
      </c>
      <c r="I324" s="1">
        <v>156.5</v>
      </c>
      <c r="J324" s="1">
        <v>203.6</v>
      </c>
      <c r="K324" s="1">
        <v>163.8</v>
      </c>
      <c r="L324" s="1">
        <v>121.3</v>
      </c>
      <c r="M324" s="1">
        <v>169.8</v>
      </c>
      <c r="N324" s="1">
        <v>156.6</v>
      </c>
      <c r="O324" s="1">
        <v>179.0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162.2</v>
      </c>
      <c r="U324" s="1">
        <v>164.5</v>
      </c>
      <c r="V324" s="1">
        <v>161.6</v>
      </c>
      <c r="W324" s="1">
        <v>156.8</v>
      </c>
      <c r="X324" s="1">
        <v>166.1</v>
      </c>
      <c r="Y324" s="1">
        <v>152.7</v>
      </c>
      <c r="Z324" s="1">
        <v>158.4</v>
      </c>
      <c r="AA324" s="1">
        <v>161.0</v>
      </c>
      <c r="AB324" s="1">
        <v>162.8</v>
      </c>
      <c r="AC324" s="1">
        <v>158.6</v>
      </c>
      <c r="AD324" s="1">
        <v>165.0</v>
      </c>
    </row>
    <row r="325" ht="14.25" customHeight="1">
      <c r="A325" s="1" t="s">
        <v>34</v>
      </c>
      <c r="B325" s="1">
        <v>2022.0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153.7</v>
      </c>
      <c r="J325" s="1">
        <v>174.3</v>
      </c>
      <c r="K325" s="1">
        <v>163.9</v>
      </c>
      <c r="L325" s="1">
        <v>120.0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160.7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161.2</v>
      </c>
      <c r="AA325" s="1">
        <v>164.7</v>
      </c>
      <c r="AB325" s="1">
        <v>163.0</v>
      </c>
      <c r="AC325" s="1">
        <v>162.7</v>
      </c>
      <c r="AD325" s="1">
        <v>165.7</v>
      </c>
    </row>
    <row r="326" ht="14.25" customHeight="1">
      <c r="A326" s="1" t="s">
        <v>30</v>
      </c>
      <c r="B326" s="1">
        <v>2022.0</v>
      </c>
      <c r="C326" s="1" t="s">
        <v>35</v>
      </c>
      <c r="D326" s="1">
        <v>148.8</v>
      </c>
      <c r="E326" s="1">
        <v>198.1</v>
      </c>
      <c r="F326" s="1">
        <v>175.5</v>
      </c>
      <c r="G326" s="1">
        <v>160.7</v>
      </c>
      <c r="H326" s="1">
        <v>192.6</v>
      </c>
      <c r="I326" s="1">
        <v>151.4</v>
      </c>
      <c r="J326" s="1">
        <v>155.2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171.0</v>
      </c>
      <c r="T326" s="1">
        <v>173.7</v>
      </c>
      <c r="U326" s="1">
        <v>165.5</v>
      </c>
      <c r="V326" s="1">
        <v>167.4</v>
      </c>
      <c r="W326" s="1">
        <v>165.7</v>
      </c>
      <c r="X326" s="1">
        <v>175.3</v>
      </c>
      <c r="Y326" s="1">
        <v>161.2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ht="14.25" customHeight="1">
      <c r="A327" s="1" t="s">
        <v>33</v>
      </c>
      <c r="B327" s="1">
        <v>2022.0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198.0</v>
      </c>
      <c r="K327" s="1">
        <v>163.2</v>
      </c>
      <c r="L327" s="1">
        <v>120.6</v>
      </c>
      <c r="M327" s="1">
        <v>172.2</v>
      </c>
      <c r="N327" s="1">
        <v>156.7</v>
      </c>
      <c r="O327" s="1">
        <v>180.0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163.0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162.0</v>
      </c>
      <c r="AB327" s="1">
        <v>164.2</v>
      </c>
      <c r="AC327" s="1">
        <v>159.4</v>
      </c>
      <c r="AD327" s="1">
        <v>165.5</v>
      </c>
    </row>
    <row r="328" ht="14.25" customHeight="1">
      <c r="A328" s="1" t="s">
        <v>34</v>
      </c>
      <c r="B328" s="1">
        <v>2022.0</v>
      </c>
      <c r="C328" s="1" t="s">
        <v>35</v>
      </c>
      <c r="D328" s="1">
        <v>150.0</v>
      </c>
      <c r="E328" s="1">
        <v>200.6</v>
      </c>
      <c r="F328" s="1">
        <v>175.8</v>
      </c>
      <c r="G328" s="1">
        <v>160.7</v>
      </c>
      <c r="H328" s="1">
        <v>184.9</v>
      </c>
      <c r="I328" s="1">
        <v>153.7</v>
      </c>
      <c r="J328" s="1">
        <v>169.7</v>
      </c>
      <c r="K328" s="1">
        <v>163.7</v>
      </c>
      <c r="L328" s="1">
        <v>118.9</v>
      </c>
      <c r="M328" s="1">
        <v>174.3</v>
      </c>
      <c r="N328" s="1">
        <v>164.7</v>
      </c>
      <c r="O328" s="1">
        <v>178.0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ht="14.25" customHeight="1">
      <c r="A329" s="1" t="s">
        <v>30</v>
      </c>
      <c r="B329" s="1">
        <v>2022.0</v>
      </c>
      <c r="C329" s="1" t="s">
        <v>36</v>
      </c>
      <c r="D329" s="1">
        <v>150.2</v>
      </c>
      <c r="E329" s="1">
        <v>208.0</v>
      </c>
      <c r="F329" s="1">
        <v>167.9</v>
      </c>
      <c r="G329" s="1">
        <v>162.0</v>
      </c>
      <c r="H329" s="1">
        <v>203.1</v>
      </c>
      <c r="I329" s="1">
        <v>155.9</v>
      </c>
      <c r="J329" s="1">
        <v>155.8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>
        <v>165.3</v>
      </c>
      <c r="V329" s="1">
        <v>168.9</v>
      </c>
      <c r="W329" s="1">
        <v>166.5</v>
      </c>
      <c r="X329" s="1">
        <v>176.0</v>
      </c>
      <c r="Y329" s="1">
        <v>162.0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ht="14.25" customHeight="1">
      <c r="A330" s="1" t="s">
        <v>33</v>
      </c>
      <c r="B330" s="1">
        <v>2022.0</v>
      </c>
      <c r="C330" s="1" t="s">
        <v>36</v>
      </c>
      <c r="D330" s="1">
        <v>153.7</v>
      </c>
      <c r="E330" s="1">
        <v>215.8</v>
      </c>
      <c r="F330" s="1">
        <v>167.7</v>
      </c>
      <c r="G330" s="1">
        <v>162.6</v>
      </c>
      <c r="H330" s="1">
        <v>180.0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154.2</v>
      </c>
      <c r="Z330" s="1">
        <v>160.8</v>
      </c>
      <c r="AA330" s="1">
        <v>162.7</v>
      </c>
      <c r="AB330" s="1">
        <v>166.8</v>
      </c>
      <c r="AC330" s="1">
        <v>160.6</v>
      </c>
      <c r="AD330" s="1">
        <v>166.5</v>
      </c>
    </row>
    <row r="331" ht="14.25" customHeight="1">
      <c r="A331" s="1" t="s">
        <v>34</v>
      </c>
      <c r="B331" s="1">
        <v>2022.0</v>
      </c>
      <c r="C331" s="1" t="s">
        <v>36</v>
      </c>
      <c r="D331" s="1">
        <v>151.3</v>
      </c>
      <c r="E331" s="1">
        <v>210.7</v>
      </c>
      <c r="F331" s="1">
        <v>167.8</v>
      </c>
      <c r="G331" s="1">
        <v>162.2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</v>
      </c>
      <c r="X331" s="1">
        <v>173.0</v>
      </c>
      <c r="Y331" s="1">
        <v>157.9</v>
      </c>
      <c r="Z331" s="1">
        <v>163.3</v>
      </c>
      <c r="AA331" s="1">
        <v>166.0</v>
      </c>
      <c r="AB331" s="1">
        <v>167.2</v>
      </c>
      <c r="AC331" s="1">
        <v>164.6</v>
      </c>
      <c r="AD331" s="1">
        <v>167.7</v>
      </c>
    </row>
    <row r="332" ht="14.25" customHeight="1">
      <c r="A332" s="1" t="s">
        <v>30</v>
      </c>
      <c r="B332" s="1">
        <v>2022.0</v>
      </c>
      <c r="C332" s="1" t="s">
        <v>37</v>
      </c>
      <c r="D332" s="1">
        <v>151.8</v>
      </c>
      <c r="E332" s="1">
        <v>209.7</v>
      </c>
      <c r="F332" s="1">
        <v>164.5</v>
      </c>
      <c r="G332" s="1">
        <v>163.8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>
        <v>167.0</v>
      </c>
      <c r="V332" s="1">
        <v>173.3</v>
      </c>
      <c r="W332" s="1">
        <v>167.7</v>
      </c>
      <c r="X332" s="1">
        <v>177.0</v>
      </c>
      <c r="Y332" s="1">
        <v>166.2</v>
      </c>
      <c r="Z332" s="1">
        <v>167.2</v>
      </c>
      <c r="AA332" s="1">
        <v>170.9</v>
      </c>
      <c r="AB332" s="1">
        <v>169.0</v>
      </c>
      <c r="AC332" s="1">
        <v>170.2</v>
      </c>
      <c r="AD332" s="1">
        <v>170.8</v>
      </c>
    </row>
    <row r="333" ht="14.25" customHeight="1">
      <c r="A333" s="1" t="s">
        <v>33</v>
      </c>
      <c r="B333" s="1">
        <v>2022.0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186.0</v>
      </c>
      <c r="I333" s="1">
        <v>175.9</v>
      </c>
      <c r="J333" s="1">
        <v>190.7</v>
      </c>
      <c r="K333" s="1">
        <v>164.0</v>
      </c>
      <c r="L333" s="1">
        <v>120.5</v>
      </c>
      <c r="M333" s="1">
        <v>178.0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167.0</v>
      </c>
      <c r="V333" s="1">
        <v>170.5</v>
      </c>
      <c r="W333" s="1">
        <v>159.8</v>
      </c>
      <c r="X333" s="1">
        <v>169.0</v>
      </c>
      <c r="Y333" s="1">
        <v>159.3</v>
      </c>
      <c r="Z333" s="1">
        <v>162.2</v>
      </c>
      <c r="AA333" s="1">
        <v>164.0</v>
      </c>
      <c r="AB333" s="1">
        <v>168.4</v>
      </c>
      <c r="AC333" s="1">
        <v>163.1</v>
      </c>
      <c r="AD333" s="1">
        <v>169.2</v>
      </c>
    </row>
    <row r="334" ht="14.25" customHeight="1">
      <c r="A334" s="1" t="s">
        <v>34</v>
      </c>
      <c r="B334" s="1">
        <v>2022.0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119.0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167.0</v>
      </c>
      <c r="V334" s="1">
        <v>172.2</v>
      </c>
      <c r="W334" s="1">
        <v>164.0</v>
      </c>
      <c r="X334" s="1">
        <v>174.0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ht="14.25" customHeight="1">
      <c r="A335" s="1" t="s">
        <v>30</v>
      </c>
      <c r="B335" s="1">
        <v>2022.0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168.0</v>
      </c>
      <c r="J335" s="1">
        <v>160.4</v>
      </c>
      <c r="K335" s="1">
        <v>165.0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179.0</v>
      </c>
      <c r="U335" s="1">
        <v>167.5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ht="14.25" customHeight="1">
      <c r="A336" s="1" t="s">
        <v>33</v>
      </c>
      <c r="B336" s="1">
        <v>2022.0</v>
      </c>
      <c r="C336" s="1" t="s">
        <v>38</v>
      </c>
      <c r="D336" s="1">
        <v>156.7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170.0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163.2</v>
      </c>
      <c r="AA336" s="1">
        <v>165.2</v>
      </c>
      <c r="AB336" s="1">
        <v>168.2</v>
      </c>
      <c r="AC336" s="1">
        <v>163.8</v>
      </c>
      <c r="AD336" s="1">
        <v>170.8</v>
      </c>
    </row>
    <row r="337" ht="14.25" customHeight="1">
      <c r="A337" s="1" t="s">
        <v>34</v>
      </c>
      <c r="B337" s="1">
        <v>2022.0</v>
      </c>
      <c r="C337" s="1" t="s">
        <v>38</v>
      </c>
      <c r="D337" s="1">
        <v>154.1</v>
      </c>
      <c r="E337" s="1">
        <v>217.0</v>
      </c>
      <c r="F337" s="1">
        <v>162.4</v>
      </c>
      <c r="G337" s="1">
        <v>164.9</v>
      </c>
      <c r="H337" s="1">
        <v>202.4</v>
      </c>
      <c r="I337" s="1">
        <v>171.0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163.0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ht="14.25" customHeight="1">
      <c r="A338" s="1" t="s">
        <v>30</v>
      </c>
      <c r="B338" s="1">
        <v>2022.0</v>
      </c>
      <c r="C338" s="1" t="s">
        <v>39</v>
      </c>
      <c r="D338" s="1">
        <v>153.8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>
        <v>166.8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168.0</v>
      </c>
      <c r="AA338" s="1">
        <v>172.6</v>
      </c>
      <c r="AB338" s="1">
        <v>169.5</v>
      </c>
      <c r="AC338" s="1">
        <v>171.0</v>
      </c>
      <c r="AD338" s="1">
        <v>173.6</v>
      </c>
    </row>
    <row r="339" ht="14.25" customHeight="1">
      <c r="A339" s="1" t="s">
        <v>33</v>
      </c>
      <c r="B339" s="1">
        <v>2022.0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157.2</v>
      </c>
      <c r="Z339" s="1">
        <v>164.1</v>
      </c>
      <c r="AA339" s="1">
        <v>166.5</v>
      </c>
      <c r="AB339" s="1">
        <v>169.2</v>
      </c>
      <c r="AC339" s="1">
        <v>163.8</v>
      </c>
      <c r="AD339" s="1">
        <v>171.4</v>
      </c>
    </row>
    <row r="340" ht="14.25" customHeight="1">
      <c r="A340" s="1" t="s">
        <v>34</v>
      </c>
      <c r="B340" s="1">
        <v>2022.0</v>
      </c>
      <c r="C340" s="1" t="s">
        <v>39</v>
      </c>
      <c r="D340" s="1">
        <v>155.0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176.0</v>
      </c>
      <c r="U340" s="1">
        <v>166.8</v>
      </c>
      <c r="V340" s="1">
        <v>176.0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169.0</v>
      </c>
      <c r="AB340" s="1">
        <v>169.4</v>
      </c>
      <c r="AC340" s="1">
        <v>167.5</v>
      </c>
      <c r="AD340" s="1">
        <v>172.6</v>
      </c>
    </row>
    <row r="341" ht="14.25" customHeight="1">
      <c r="A341" s="1" t="s">
        <v>30</v>
      </c>
      <c r="B341" s="1">
        <v>2022.0</v>
      </c>
      <c r="C341" s="1" t="s">
        <v>40</v>
      </c>
      <c r="D341" s="1">
        <v>155.2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182.0</v>
      </c>
      <c r="S341" s="1">
        <v>180.3</v>
      </c>
      <c r="T341" s="1">
        <v>181.7</v>
      </c>
      <c r="U341" s="1">
        <v>167.8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ht="14.25" customHeight="1">
      <c r="A342" s="1" t="s">
        <v>33</v>
      </c>
      <c r="B342" s="1">
        <v>2022.0</v>
      </c>
      <c r="C342" s="1" t="s">
        <v>40</v>
      </c>
      <c r="D342" s="1">
        <v>159.3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164.0</v>
      </c>
      <c r="L342" s="1">
        <v>121.5</v>
      </c>
      <c r="M342" s="1">
        <v>186.3</v>
      </c>
      <c r="N342" s="1">
        <v>159.8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158.7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ht="14.25" customHeight="1">
      <c r="A343" s="1" t="s">
        <v>34</v>
      </c>
      <c r="B343" s="1">
        <v>2022.0</v>
      </c>
      <c r="C343" s="1" t="s">
        <v>40</v>
      </c>
      <c r="D343" s="1">
        <v>156.5</v>
      </c>
      <c r="E343" s="1">
        <v>213.0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120.0</v>
      </c>
      <c r="M343" s="1">
        <v>190.0</v>
      </c>
      <c r="N343" s="1">
        <v>168.4</v>
      </c>
      <c r="O343" s="1">
        <v>185.2</v>
      </c>
      <c r="P343" s="1">
        <v>175.0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ht="14.25" customHeight="1">
      <c r="A344" s="1" t="s">
        <v>30</v>
      </c>
      <c r="B344" s="1">
        <v>2022.0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184.0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183.0</v>
      </c>
      <c r="U344" s="1">
        <v>169.0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ht="14.25" customHeight="1">
      <c r="A345" s="1" t="s">
        <v>33</v>
      </c>
      <c r="B345" s="1">
        <v>2022.0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160.0</v>
      </c>
      <c r="T345" s="1">
        <v>171.6</v>
      </c>
      <c r="U345" s="1">
        <v>169.0</v>
      </c>
      <c r="V345" s="1">
        <v>178.4</v>
      </c>
      <c r="W345" s="1">
        <v>164.2</v>
      </c>
      <c r="X345" s="1">
        <v>172.6</v>
      </c>
      <c r="Y345" s="1">
        <v>157.7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ht="14.25" customHeight="1">
      <c r="A346" s="1" t="s">
        <v>34</v>
      </c>
      <c r="B346" s="1">
        <v>2022.0</v>
      </c>
      <c r="C346" s="1" t="s">
        <v>41</v>
      </c>
      <c r="D346" s="1">
        <v>160.3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195.0</v>
      </c>
      <c r="R346" s="1">
        <v>179.5</v>
      </c>
      <c r="S346" s="1">
        <v>172.7</v>
      </c>
      <c r="T346" s="1">
        <v>178.5</v>
      </c>
      <c r="U346" s="1">
        <v>169.0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ht="14.25" customHeight="1">
      <c r="A347" s="1" t="s">
        <v>30</v>
      </c>
      <c r="B347" s="1">
        <v>2022.0</v>
      </c>
      <c r="C347" s="1" t="s">
        <v>42</v>
      </c>
      <c r="D347" s="1">
        <v>162.9</v>
      </c>
      <c r="E347" s="1">
        <v>206.7</v>
      </c>
      <c r="F347" s="1">
        <v>169.0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169.0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>
        <v>169.5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170.0</v>
      </c>
      <c r="AA347" s="1">
        <v>176.2</v>
      </c>
      <c r="AB347" s="1">
        <v>170.8</v>
      </c>
      <c r="AC347" s="1">
        <v>173.1</v>
      </c>
      <c r="AD347" s="1">
        <v>176.4</v>
      </c>
    </row>
    <row r="348" ht="14.25" customHeight="1">
      <c r="A348" s="1" t="s">
        <v>33</v>
      </c>
      <c r="B348" s="1">
        <v>2022.0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175.0</v>
      </c>
      <c r="S348" s="1">
        <v>161.7</v>
      </c>
      <c r="T348" s="1">
        <v>173.0</v>
      </c>
      <c r="U348" s="1">
        <v>169.5</v>
      </c>
      <c r="V348" s="1">
        <v>179.2</v>
      </c>
      <c r="W348" s="1">
        <v>165.0</v>
      </c>
      <c r="X348" s="1">
        <v>173.8</v>
      </c>
      <c r="Y348" s="1">
        <v>158.2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ht="14.25" customHeight="1">
      <c r="A349" s="1" t="s">
        <v>34</v>
      </c>
      <c r="B349" s="1">
        <v>2022.0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ht="14.25" customHeight="1">
      <c r="A350" s="1" t="s">
        <v>30</v>
      </c>
      <c r="B350" s="1">
        <v>2022.0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162.2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>
        <v>171.2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172.0</v>
      </c>
      <c r="AC350" s="1">
        <v>173.9</v>
      </c>
      <c r="AD350" s="1">
        <v>177.9</v>
      </c>
    </row>
    <row r="351" ht="14.25" customHeight="1">
      <c r="A351" s="1" t="s">
        <v>33</v>
      </c>
      <c r="B351" s="1">
        <v>2022.0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171.0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180.0</v>
      </c>
      <c r="W351" s="1">
        <v>166.0</v>
      </c>
      <c r="X351" s="1">
        <v>174.7</v>
      </c>
      <c r="Y351" s="1">
        <v>158.8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ht="14.25" customHeight="1">
      <c r="A352" s="1" t="s">
        <v>34</v>
      </c>
      <c r="B352" s="1">
        <v>2022.0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181.0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ht="14.25" customHeight="1">
      <c r="A353" s="1" t="s">
        <v>30</v>
      </c>
      <c r="B353" s="1">
        <v>2022.0</v>
      </c>
      <c r="C353" s="1" t="s">
        <v>45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194.0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>
        <v>171.8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ht="14.25" customHeight="1">
      <c r="A354" s="1" t="s">
        <v>33</v>
      </c>
      <c r="B354" s="1">
        <v>2022.0</v>
      </c>
      <c r="C354" s="1" t="s">
        <v>45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180.0</v>
      </c>
      <c r="I354" s="1">
        <v>162.6</v>
      </c>
      <c r="J354" s="1">
        <v>205.5</v>
      </c>
      <c r="K354" s="1">
        <v>171.0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ht="14.25" customHeight="1">
      <c r="A355" s="1" t="s">
        <v>34</v>
      </c>
      <c r="B355" s="1">
        <v>2022.0</v>
      </c>
      <c r="C355" s="1" t="s">
        <v>45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160.7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163.0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ht="14.25" customHeight="1">
      <c r="A356" s="1" t="s">
        <v>30</v>
      </c>
      <c r="B356" s="1">
        <v>2022.0</v>
      </c>
      <c r="C356" s="1" t="s">
        <v>46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156.7</v>
      </c>
      <c r="J356" s="1">
        <v>150.2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>
        <v>170.7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ht="14.25" customHeight="1">
      <c r="A357" s="1" t="s">
        <v>33</v>
      </c>
      <c r="B357" s="1">
        <v>2022.0</v>
      </c>
      <c r="C357" s="1" t="s">
        <v>46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176.0</v>
      </c>
      <c r="AC357" s="1">
        <v>168.2</v>
      </c>
      <c r="AD357" s="1">
        <v>174.1</v>
      </c>
    </row>
    <row r="358" ht="14.25" customHeight="1">
      <c r="A358" s="1" t="s">
        <v>34</v>
      </c>
      <c r="B358" s="1">
        <v>2022.0</v>
      </c>
      <c r="C358" s="1" t="s">
        <v>46</v>
      </c>
      <c r="D358" s="1">
        <v>169.2</v>
      </c>
      <c r="E358" s="1">
        <v>209.0</v>
      </c>
      <c r="F358" s="1">
        <v>190.2</v>
      </c>
      <c r="G358" s="1">
        <v>173.6</v>
      </c>
      <c r="H358" s="1">
        <v>188.5</v>
      </c>
      <c r="I358" s="1">
        <v>158.0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171.0</v>
      </c>
      <c r="O358" s="1">
        <v>190.3</v>
      </c>
      <c r="P358" s="1">
        <v>175.9</v>
      </c>
      <c r="Q358" s="1">
        <v>197.3</v>
      </c>
      <c r="R358" s="1">
        <v>184.0</v>
      </c>
      <c r="S358" s="1">
        <v>177.0</v>
      </c>
      <c r="T358" s="1">
        <v>183.0</v>
      </c>
      <c r="U358" s="1">
        <v>170.7</v>
      </c>
      <c r="V358" s="1">
        <v>182.0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172.0</v>
      </c>
      <c r="AD358" s="1">
        <v>175.7</v>
      </c>
    </row>
    <row r="359" ht="14.25" customHeight="1">
      <c r="A359" s="1" t="s">
        <v>30</v>
      </c>
      <c r="B359" s="1">
        <v>2023.0</v>
      </c>
      <c r="C359" s="1" t="s">
        <v>31</v>
      </c>
      <c r="D359" s="1">
        <v>174.0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175.0</v>
      </c>
      <c r="Q359" s="1">
        <v>196.9</v>
      </c>
      <c r="R359" s="1">
        <v>189.0</v>
      </c>
      <c r="S359" s="1">
        <v>186.3</v>
      </c>
      <c r="T359" s="1">
        <v>188.6</v>
      </c>
      <c r="U359" s="1">
        <v>172.1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ht="14.25" customHeight="1">
      <c r="A360" s="1" t="s">
        <v>33</v>
      </c>
      <c r="B360" s="1">
        <v>2023.0</v>
      </c>
      <c r="C360" s="1" t="s">
        <v>31</v>
      </c>
      <c r="D360" s="1">
        <v>173.3</v>
      </c>
      <c r="E360" s="1">
        <v>215.2</v>
      </c>
      <c r="F360" s="1">
        <v>197.0</v>
      </c>
      <c r="G360" s="1">
        <v>175.2</v>
      </c>
      <c r="H360" s="1">
        <v>178.0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163.7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168.0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ht="14.25" customHeight="1">
      <c r="A361" s="1" t="s">
        <v>34</v>
      </c>
      <c r="B361" s="1">
        <v>2023.0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182.0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ht="14.25" customHeight="1">
      <c r="A362" s="1" t="s">
        <v>30</v>
      </c>
      <c r="B362" s="1">
        <v>2023.0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177.0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190.0</v>
      </c>
      <c r="S362" s="1">
        <v>187.0</v>
      </c>
      <c r="T362" s="1">
        <v>189.6</v>
      </c>
      <c r="U362" s="1">
        <v>173.5</v>
      </c>
      <c r="V362" s="1">
        <v>181.6</v>
      </c>
      <c r="W362" s="1">
        <v>178.6</v>
      </c>
      <c r="X362" s="1">
        <v>186.6</v>
      </c>
      <c r="Y362" s="1">
        <v>169.0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178.0</v>
      </c>
    </row>
    <row r="363" ht="14.25" customHeight="1">
      <c r="A363" s="1" t="s">
        <v>33</v>
      </c>
      <c r="B363" s="1">
        <v>2023.0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167.0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</v>
      </c>
      <c r="Z363" s="1">
        <v>168.4</v>
      </c>
      <c r="AA363" s="1">
        <v>172.5</v>
      </c>
      <c r="AB363" s="1">
        <v>181.4</v>
      </c>
      <c r="AC363" s="1">
        <v>170.0</v>
      </c>
      <c r="AD363" s="1">
        <v>176.3</v>
      </c>
    </row>
    <row r="364" ht="14.25" customHeight="1">
      <c r="A364" s="1" t="s">
        <v>34</v>
      </c>
      <c r="B364" s="1">
        <v>2023.0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152.7</v>
      </c>
      <c r="K364" s="1">
        <v>171.0</v>
      </c>
      <c r="L364" s="1">
        <v>120.0</v>
      </c>
      <c r="M364" s="1">
        <v>209.7</v>
      </c>
      <c r="N364" s="1">
        <v>172.3</v>
      </c>
      <c r="O364" s="1">
        <v>193.0</v>
      </c>
      <c r="P364" s="1">
        <v>177.0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175.0</v>
      </c>
      <c r="AB364" s="1">
        <v>181.0</v>
      </c>
      <c r="AC364" s="1">
        <v>174.1</v>
      </c>
      <c r="AD364" s="1">
        <v>177.2</v>
      </c>
    </row>
    <row r="365" ht="14.25" customHeight="1">
      <c r="A365" s="1" t="s">
        <v>30</v>
      </c>
      <c r="B365" s="1">
        <v>2023.0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177.0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190.0</v>
      </c>
      <c r="S365" s="1">
        <v>187.0</v>
      </c>
      <c r="T365" s="1">
        <v>189.6</v>
      </c>
      <c r="U365" s="1">
        <v>173.5</v>
      </c>
      <c r="V365" s="1">
        <v>181.4</v>
      </c>
      <c r="W365" s="1">
        <v>178.6</v>
      </c>
      <c r="X365" s="1">
        <v>186.6</v>
      </c>
      <c r="Y365" s="1">
        <v>169.0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178.0</v>
      </c>
    </row>
    <row r="366" ht="14.25" customHeight="1">
      <c r="A366" s="1" t="s">
        <v>33</v>
      </c>
      <c r="B366" s="1">
        <v>2023.0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167.0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</v>
      </c>
      <c r="Z366" s="1">
        <v>168.4</v>
      </c>
      <c r="AA366" s="1">
        <v>172.5</v>
      </c>
      <c r="AB366" s="1">
        <v>181.5</v>
      </c>
      <c r="AC366" s="1">
        <v>170.0</v>
      </c>
      <c r="AD366" s="1">
        <v>176.3</v>
      </c>
    </row>
    <row r="367" ht="14.25" customHeight="1">
      <c r="A367" s="1" t="s">
        <v>34</v>
      </c>
      <c r="B367" s="1">
        <v>2023.0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</v>
      </c>
      <c r="K367" s="1">
        <v>171.1</v>
      </c>
      <c r="L367" s="1">
        <v>120.0</v>
      </c>
      <c r="M367" s="1">
        <v>209.7</v>
      </c>
      <c r="N367" s="1">
        <v>172.3</v>
      </c>
      <c r="O367" s="1">
        <v>193.0</v>
      </c>
      <c r="P367" s="1">
        <v>177.0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175.0</v>
      </c>
      <c r="AB367" s="1">
        <v>181.0</v>
      </c>
      <c r="AC367" s="1">
        <v>174.1</v>
      </c>
      <c r="AD367" s="1">
        <v>177.2</v>
      </c>
    </row>
    <row r="368" ht="14.25" customHeight="1">
      <c r="A368" s="1" t="s">
        <v>30</v>
      </c>
      <c r="B368" s="1">
        <v>2023.0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>
        <v>175.2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ht="14.25" customHeight="1">
      <c r="A369" s="1" t="s">
        <v>33</v>
      </c>
      <c r="B369" s="1">
        <v>2023.0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197.0</v>
      </c>
      <c r="P369" s="1">
        <v>182.1</v>
      </c>
      <c r="Q369" s="1">
        <v>203.5</v>
      </c>
      <c r="R369" s="1">
        <v>181.0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ht="14.25" customHeight="1">
      <c r="A370" s="1" t="s">
        <v>34</v>
      </c>
      <c r="B370" s="1">
        <v>2023.0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185.0</v>
      </c>
      <c r="Y370" s="1">
        <v>164.5</v>
      </c>
      <c r="Z370" s="1">
        <v>170.7</v>
      </c>
      <c r="AA370" s="1">
        <v>176.4</v>
      </c>
      <c r="AB370" s="1">
        <v>184.0</v>
      </c>
      <c r="AC370" s="1">
        <v>175.0</v>
      </c>
      <c r="AD370" s="1">
        <v>178.1</v>
      </c>
    </row>
    <row r="371" ht="14.25" customHeight="1">
      <c r="A371" s="1" t="s">
        <v>30</v>
      </c>
      <c r="B371" s="1">
        <v>2023.0</v>
      </c>
      <c r="C371" s="1" t="s">
        <v>38</v>
      </c>
      <c r="D371" s="1">
        <v>173.2</v>
      </c>
      <c r="E371" s="1">
        <v>211.5</v>
      </c>
      <c r="F371" s="1">
        <v>171.0</v>
      </c>
      <c r="G371" s="1">
        <v>179.6</v>
      </c>
      <c r="H371" s="1">
        <v>173.3</v>
      </c>
      <c r="I371" s="1">
        <v>169.0</v>
      </c>
      <c r="J371" s="1">
        <v>148.7</v>
      </c>
      <c r="K371" s="1">
        <v>174.9</v>
      </c>
      <c r="L371" s="1">
        <v>121.9</v>
      </c>
      <c r="M371" s="1">
        <v>221.0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>
        <v>175.6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ht="14.25" customHeight="1">
      <c r="A372" s="1" t="s">
        <v>33</v>
      </c>
      <c r="B372" s="1">
        <v>2023.0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185.0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ht="14.25" customHeight="1">
      <c r="A373" s="1" t="s">
        <v>34</v>
      </c>
      <c r="B373" s="1">
        <v>2023.0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170.0</v>
      </c>
      <c r="I373" s="1">
        <v>172.2</v>
      </c>
      <c r="J373" s="1">
        <v>161.0</v>
      </c>
      <c r="K373" s="1">
        <v>175.6</v>
      </c>
      <c r="L373" s="1">
        <v>122.7</v>
      </c>
      <c r="M373" s="1">
        <v>218.0</v>
      </c>
      <c r="N373" s="1">
        <v>173.4</v>
      </c>
      <c r="O373" s="1">
        <v>194.2</v>
      </c>
      <c r="P373" s="1">
        <v>179.1</v>
      </c>
      <c r="Q373" s="1">
        <v>201.0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D$373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71"/>
    <col customWidth="1" min="3" max="3" width="17.14"/>
    <col customWidth="1" min="4" max="4" width="20.14"/>
    <col customWidth="1" min="5" max="5" width="14.29"/>
    <col customWidth="1" min="6" max="6" width="7.0"/>
    <col customWidth="1" min="7" max="7" width="17.43"/>
    <col customWidth="1" min="8" max="8" width="12.86"/>
    <col customWidth="1" min="9" max="9" width="7.29"/>
    <col customWidth="1" min="10" max="10" width="12.29"/>
    <col customWidth="1" min="11" max="11" width="19.29"/>
    <col customWidth="1" min="12" max="12" width="23.57"/>
    <col customWidth="1" min="13" max="13" width="8.71"/>
    <col customWidth="1" min="14" max="14" width="23.29"/>
    <col customWidth="1" min="15" max="15" width="32.43"/>
    <col customWidth="1" min="16" max="16" width="19.57"/>
    <col customWidth="1" min="17" max="17" width="26.71"/>
    <col customWidth="1" min="18" max="18" width="10.43"/>
    <col customWidth="1" min="19" max="19" width="12.71"/>
    <col customWidth="1" min="20" max="20" width="23.29"/>
    <col customWidth="1" min="21" max="21" width="10.57"/>
    <col customWidth="1" min="22" max="22" width="14.29"/>
    <col customWidth="1" min="23" max="23" width="17.29"/>
    <col customWidth="1" min="24" max="24" width="16.71"/>
    <col customWidth="1" min="25" max="25" width="28.71"/>
    <col customWidth="1" min="26" max="26" width="25.57"/>
    <col customWidth="1" min="27" max="27" width="17.43"/>
    <col customWidth="1" min="28" max="28" width="24.14"/>
    <col customWidth="1" min="29" max="29" width="21.57"/>
    <col customWidth="1" min="30" max="30" width="15.29"/>
  </cols>
  <sheetData>
    <row r="1" ht="24.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ht="14.25" customHeight="1">
      <c r="A2" s="4" t="s">
        <v>34</v>
      </c>
      <c r="B2" s="4">
        <v>2023.0</v>
      </c>
      <c r="C2" s="4" t="s">
        <v>38</v>
      </c>
      <c r="D2" s="4">
        <v>173.7</v>
      </c>
      <c r="E2" s="4">
        <v>214.3</v>
      </c>
      <c r="F2" s="4">
        <v>173.2</v>
      </c>
      <c r="G2" s="4">
        <v>179.5</v>
      </c>
      <c r="H2" s="4">
        <v>170.0</v>
      </c>
      <c r="I2" s="4">
        <v>172.2</v>
      </c>
      <c r="J2" s="4">
        <v>161.0</v>
      </c>
      <c r="K2" s="4">
        <v>175.6</v>
      </c>
      <c r="L2" s="4">
        <v>122.7</v>
      </c>
      <c r="M2" s="4">
        <v>218.0</v>
      </c>
      <c r="N2" s="4">
        <v>173.4</v>
      </c>
      <c r="O2" s="4">
        <v>194.2</v>
      </c>
      <c r="P2" s="4">
        <v>179.1</v>
      </c>
      <c r="Q2" s="4">
        <v>201.0</v>
      </c>
      <c r="R2" s="4">
        <v>187.3</v>
      </c>
      <c r="S2" s="4">
        <v>179.7</v>
      </c>
      <c r="T2" s="4">
        <v>186.2</v>
      </c>
      <c r="U2" s="4">
        <v>175.6</v>
      </c>
      <c r="V2" s="4">
        <v>182.8</v>
      </c>
      <c r="W2" s="4">
        <v>175.2</v>
      </c>
      <c r="X2" s="4">
        <v>185.7</v>
      </c>
      <c r="Y2" s="4">
        <v>164.8</v>
      </c>
      <c r="Z2" s="4">
        <v>171.2</v>
      </c>
      <c r="AA2" s="4">
        <v>177.1</v>
      </c>
      <c r="AB2" s="4">
        <v>185.2</v>
      </c>
      <c r="AC2" s="4">
        <v>175.7</v>
      </c>
      <c r="AD2" s="4">
        <v>179.1</v>
      </c>
    </row>
    <row r="3" ht="14.25" customHeight="1"/>
    <row r="4" ht="32.25" customHeight="1">
      <c r="A4" s="5" t="s">
        <v>49</v>
      </c>
      <c r="B4" s="5" t="s">
        <v>50</v>
      </c>
      <c r="C4" s="5" t="s">
        <v>51</v>
      </c>
    </row>
    <row r="5" ht="27.0" customHeight="1">
      <c r="A5" s="6" t="s">
        <v>52</v>
      </c>
      <c r="B5" s="7">
        <f>SUM(D2:O2)</f>
        <v>2127.8</v>
      </c>
      <c r="C5" s="8">
        <f t="shared" ref="C5:C15" si="1">(B5/$B$16)*100</f>
        <v>51.72849711</v>
      </c>
    </row>
    <row r="6" ht="14.25" customHeight="1">
      <c r="A6" s="6" t="s">
        <v>53</v>
      </c>
      <c r="B6" s="7">
        <f>Q2</f>
        <v>201</v>
      </c>
      <c r="C6" s="8">
        <f t="shared" si="1"/>
        <v>4.886468615</v>
      </c>
    </row>
    <row r="7" ht="14.25" customHeight="1">
      <c r="A7" s="6" t="s">
        <v>17</v>
      </c>
      <c r="B7" s="7">
        <f>SUM(R2:S2)</f>
        <v>367</v>
      </c>
      <c r="C7" s="8">
        <f t="shared" si="1"/>
        <v>8.92205961</v>
      </c>
    </row>
    <row r="8" ht="14.25" customHeight="1">
      <c r="A8" s="6" t="s">
        <v>20</v>
      </c>
      <c r="B8" s="7">
        <f>U2</f>
        <v>175.6</v>
      </c>
      <c r="C8" s="8">
        <f t="shared" si="1"/>
        <v>4.268974571</v>
      </c>
    </row>
    <row r="9" ht="14.25" customHeight="1">
      <c r="A9" s="6" t="s">
        <v>54</v>
      </c>
      <c r="B9" s="7">
        <f>V2</f>
        <v>182.8</v>
      </c>
      <c r="C9" s="8">
        <f t="shared" si="1"/>
        <v>4.444012253</v>
      </c>
    </row>
    <row r="10" ht="14.25" customHeight="1">
      <c r="A10" s="6" t="s">
        <v>55</v>
      </c>
      <c r="B10" s="7">
        <f>W2</f>
        <v>175.2</v>
      </c>
      <c r="C10" s="8">
        <f t="shared" si="1"/>
        <v>4.259250255</v>
      </c>
    </row>
    <row r="11" ht="14.25" customHeight="1">
      <c r="A11" s="6" t="s">
        <v>23</v>
      </c>
      <c r="B11" s="7">
        <f>X2</f>
        <v>185.7</v>
      </c>
      <c r="C11" s="8">
        <f t="shared" si="1"/>
        <v>4.514513541</v>
      </c>
    </row>
    <row r="12" ht="14.25" customHeight="1">
      <c r="A12" s="6" t="s">
        <v>56</v>
      </c>
      <c r="B12" s="7">
        <f>Y2</f>
        <v>164.8</v>
      </c>
      <c r="C12" s="8">
        <f t="shared" si="1"/>
        <v>4.006418048</v>
      </c>
    </row>
    <row r="13" ht="14.25" customHeight="1">
      <c r="A13" s="6" t="s">
        <v>57</v>
      </c>
      <c r="B13" s="7">
        <f>Z2</f>
        <v>171.2</v>
      </c>
      <c r="C13" s="8">
        <f t="shared" si="1"/>
        <v>4.162007099</v>
      </c>
    </row>
    <row r="14" ht="14.25" customHeight="1">
      <c r="A14" s="6" t="s">
        <v>26</v>
      </c>
      <c r="B14" s="7">
        <f>AA2</f>
        <v>177.1</v>
      </c>
      <c r="C14" s="8">
        <f t="shared" si="1"/>
        <v>4.305440755</v>
      </c>
    </row>
    <row r="15" ht="14.25" customHeight="1">
      <c r="A15" s="6" t="s">
        <v>58</v>
      </c>
      <c r="B15" s="7">
        <f>AB2</f>
        <v>185.2</v>
      </c>
      <c r="C15" s="8">
        <f t="shared" si="1"/>
        <v>4.502358147</v>
      </c>
    </row>
    <row r="16" ht="14.25" customHeight="1">
      <c r="A16" s="6" t="s">
        <v>59</v>
      </c>
      <c r="B16" s="9">
        <f>SUM(B5:B15)</f>
        <v>4113.4</v>
      </c>
      <c r="C16" s="10">
        <v>100.0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5:C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5.86"/>
    <col customWidth="1" min="3" max="3" width="18.14"/>
    <col customWidth="1" min="4" max="4" width="12.14"/>
    <col customWidth="1" min="5" max="26" width="8.71"/>
  </cols>
  <sheetData>
    <row r="1" ht="14.25" customHeight="1">
      <c r="A1" s="3" t="s">
        <v>1</v>
      </c>
      <c r="B1" s="3" t="s">
        <v>60</v>
      </c>
      <c r="C1" s="3" t="s">
        <v>61</v>
      </c>
      <c r="D1" s="3" t="s">
        <v>62</v>
      </c>
    </row>
    <row r="2" ht="14.25" customHeight="1">
      <c r="A2" s="11">
        <v>2017.0</v>
      </c>
      <c r="B2" s="11">
        <f>SUMIFS('Data Clean'!AD:AD,'Data Clean'!A:A,"Rural+Urban",'Data Clean'!B:B,A2,'Data Clean'!C:C,"January")</f>
        <v>130.3</v>
      </c>
      <c r="C2" s="11">
        <f>SUMIFS('Data Clean'!AD:AD,'Data Clean'!A:A,"Rural+Urban",'Data Clean'!B:B,A2,'Data Clean'!C:C,"December")</f>
        <v>137.2</v>
      </c>
      <c r="D2" s="12">
        <f t="shared" ref="D2:D8" si="1">((C2-B2)/B2)*100</f>
        <v>5.295471988</v>
      </c>
    </row>
    <row r="3" ht="14.25" customHeight="1">
      <c r="A3" s="11">
        <v>2018.0</v>
      </c>
      <c r="B3" s="11">
        <f>SUMIFS('Data Clean'!AD:AD,'Data Clean'!A:A,"Rural+Urban",'Data Clean'!B:B,A3,'Data Clean'!C:C,"January")</f>
        <v>136.9</v>
      </c>
      <c r="C3" s="11">
        <f>SUMIFS('Data Clean'!AD:AD,'Data Clean'!A:A,"Rural+Urban",'Data Clean'!B:B,A3,'Data Clean'!C:C,"December")</f>
        <v>140.1</v>
      </c>
      <c r="D3" s="12">
        <f t="shared" si="1"/>
        <v>2.337472608</v>
      </c>
    </row>
    <row r="4" ht="14.25" customHeight="1">
      <c r="A4" s="11">
        <v>2019.0</v>
      </c>
      <c r="B4" s="11">
        <f>SUMIFS('Data Clean'!AD:AD,'Data Clean'!A:A,"Rural+Urban",'Data Clean'!B:B,A4,'Data Clean'!C:C,"January")</f>
        <v>139.6</v>
      </c>
      <c r="C4" s="11">
        <f>SUMIFS('Data Clean'!AD:AD,'Data Clean'!A:A,"Rural+Urban",'Data Clean'!B:B,A4,'Data Clean'!C:C,"December")</f>
        <v>150.4</v>
      </c>
      <c r="D4" s="12">
        <f t="shared" si="1"/>
        <v>7.736389685</v>
      </c>
    </row>
    <row r="5" ht="14.25" customHeight="1">
      <c r="A5" s="11">
        <v>2020.0</v>
      </c>
      <c r="B5" s="11">
        <f>SUMIFS('Data Clean'!AD:AD,'Data Clean'!A:A,"Rural+Urban",'Data Clean'!B:B,A5,'Data Clean'!C:C,"January")</f>
        <v>150.2</v>
      </c>
      <c r="C5" s="11">
        <f>SUMIFS('Data Clean'!AD:AD,'Data Clean'!A:A,"Rural+Urban",'Data Clean'!B:B,A5,'Data Clean'!C:C,"December")</f>
        <v>158.9</v>
      </c>
      <c r="D5" s="12">
        <f t="shared" si="1"/>
        <v>5.792276964</v>
      </c>
    </row>
    <row r="6" ht="14.25" customHeight="1">
      <c r="A6" s="11">
        <v>2021.0</v>
      </c>
      <c r="B6" s="11">
        <f>SUMIFS('Data Clean'!AD:AD,'Data Clean'!A:A,"Rural+Urban",'Data Clean'!B:B,A6,'Data Clean'!C:C,"January")</f>
        <v>157.3</v>
      </c>
      <c r="C6" s="11">
        <f>SUMIFS('Data Clean'!AD:AD,'Data Clean'!A:A,"Rural+Urban",'Data Clean'!B:B,A6,'Data Clean'!C:C,"December")</f>
        <v>166.2</v>
      </c>
      <c r="D6" s="12">
        <f t="shared" si="1"/>
        <v>5.657978385</v>
      </c>
    </row>
    <row r="7" ht="14.25" customHeight="1">
      <c r="A7" s="11">
        <v>2022.0</v>
      </c>
      <c r="B7" s="11">
        <f>SUMIFS('Data Clean'!AD:AD,'Data Clean'!A:A,"Rural+Urban",'Data Clean'!B:B,A7,'Data Clean'!C:C,"January")</f>
        <v>165.7</v>
      </c>
      <c r="C7" s="11">
        <f>SUMIFS('Data Clean'!AD:AD,'Data Clean'!A:A,"Rural+Urban",'Data Clean'!B:B,A7,'Data Clean'!C:C,"December")</f>
        <v>175.7</v>
      </c>
      <c r="D7" s="12">
        <f t="shared" si="1"/>
        <v>6.035003018</v>
      </c>
    </row>
    <row r="8" ht="14.25" customHeight="1">
      <c r="A8" s="11">
        <v>2023.0</v>
      </c>
      <c r="B8" s="11">
        <f>SUMIFS('Data Clean'!AD:AD,'Data Clean'!A:A,"Rural+Urban",'Data Clean'!B:B,A8,'Data Clean'!C:C,"January")</f>
        <v>176.5</v>
      </c>
      <c r="C8" s="11">
        <f>SUMIFS('Data Clean'!AD:AD,'Data Clean'!A:A,"Rural+Urban",'Data Clean'!B:B,A8,'Data Clean'!C:C,"May")</f>
        <v>179.1</v>
      </c>
      <c r="D8" s="12">
        <f t="shared" si="1"/>
        <v>1.473087819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>
      <c r="A15" s="13" t="s">
        <v>63</v>
      </c>
      <c r="B15" s="14"/>
      <c r="C15" s="14"/>
      <c r="D15" s="15"/>
    </row>
    <row r="16" ht="14.25" customHeight="1">
      <c r="A16" s="16" t="s">
        <v>64</v>
      </c>
      <c r="B16" s="16" t="s">
        <v>65</v>
      </c>
      <c r="C16" s="16" t="s">
        <v>66</v>
      </c>
      <c r="D16" s="16" t="s">
        <v>67</v>
      </c>
    </row>
    <row r="17" ht="14.25" customHeight="1">
      <c r="A17" s="17" t="s">
        <v>9</v>
      </c>
      <c r="B17" s="4">
        <v>131.3</v>
      </c>
      <c r="C17" s="4">
        <v>217.0</v>
      </c>
      <c r="D17" s="4">
        <f t="shared" ref="D17:D42" si="2">((C17 - B17) / B17) * 100</f>
        <v>65.27037319</v>
      </c>
    </row>
    <row r="18" ht="14.25" customHeight="1">
      <c r="A18" s="17" t="s">
        <v>10</v>
      </c>
      <c r="B18" s="4">
        <v>120.3</v>
      </c>
      <c r="C18" s="4">
        <v>138.3</v>
      </c>
      <c r="D18" s="4">
        <f t="shared" si="2"/>
        <v>14.96259352</v>
      </c>
    </row>
    <row r="19" ht="14.25" customHeight="1">
      <c r="A19" s="17" t="s">
        <v>15</v>
      </c>
      <c r="B19" s="4">
        <v>137.4</v>
      </c>
      <c r="C19" s="4">
        <v>155.0</v>
      </c>
      <c r="D19" s="4">
        <f t="shared" si="2"/>
        <v>12.80931587</v>
      </c>
    </row>
    <row r="20" ht="14.25" customHeight="1">
      <c r="A20" s="17" t="s">
        <v>4</v>
      </c>
      <c r="B20" s="4">
        <v>151.4</v>
      </c>
      <c r="C20" s="4">
        <v>165.0</v>
      </c>
      <c r="D20" s="4">
        <f t="shared" si="2"/>
        <v>8.982826948</v>
      </c>
    </row>
    <row r="21" ht="14.25" customHeight="1">
      <c r="A21" s="17" t="s">
        <v>5</v>
      </c>
      <c r="B21" s="4">
        <v>140.2</v>
      </c>
      <c r="C21" s="4">
        <v>151.1</v>
      </c>
      <c r="D21" s="4">
        <f t="shared" si="2"/>
        <v>7.774607703</v>
      </c>
    </row>
    <row r="22" ht="14.25" customHeight="1">
      <c r="A22" s="17" t="s">
        <v>8</v>
      </c>
      <c r="B22" s="4">
        <v>135.4</v>
      </c>
      <c r="C22" s="4">
        <v>145.7</v>
      </c>
      <c r="D22" s="4">
        <f t="shared" si="2"/>
        <v>7.607090103</v>
      </c>
    </row>
    <row r="23" ht="14.25" customHeight="1">
      <c r="A23" s="17" t="s">
        <v>12</v>
      </c>
      <c r="B23" s="4">
        <v>139.4</v>
      </c>
      <c r="C23" s="4">
        <v>148.7</v>
      </c>
      <c r="D23" s="4">
        <f t="shared" si="2"/>
        <v>6.671449067</v>
      </c>
    </row>
    <row r="24" ht="14.25" customHeight="1">
      <c r="A24" s="17" t="s">
        <v>27</v>
      </c>
      <c r="B24" s="4">
        <v>132.8</v>
      </c>
      <c r="C24" s="4">
        <v>140.4</v>
      </c>
      <c r="D24" s="4">
        <f t="shared" si="2"/>
        <v>5.722891566</v>
      </c>
    </row>
    <row r="25" ht="14.25" customHeight="1">
      <c r="A25" s="17" t="s">
        <v>24</v>
      </c>
      <c r="B25" s="4">
        <v>123.3</v>
      </c>
      <c r="C25" s="4">
        <v>129.8</v>
      </c>
      <c r="D25" s="4">
        <f t="shared" si="2"/>
        <v>5.271695053</v>
      </c>
    </row>
    <row r="26" ht="14.25" customHeight="1">
      <c r="A26" s="17" t="s">
        <v>3</v>
      </c>
      <c r="B26" s="4">
        <v>137.1</v>
      </c>
      <c r="C26" s="4">
        <v>143.5</v>
      </c>
      <c r="D26" s="4">
        <f t="shared" si="2"/>
        <v>4.668125456</v>
      </c>
    </row>
    <row r="27" ht="14.25" customHeight="1">
      <c r="A27" s="17" t="s">
        <v>11</v>
      </c>
      <c r="B27" s="4">
        <v>109.1</v>
      </c>
      <c r="C27" s="4">
        <v>114.0</v>
      </c>
      <c r="D27" s="4">
        <f t="shared" si="2"/>
        <v>4.491292392</v>
      </c>
    </row>
    <row r="28" ht="14.25" customHeight="1">
      <c r="A28" s="17" t="s">
        <v>6</v>
      </c>
      <c r="B28" s="4">
        <v>142.1</v>
      </c>
      <c r="C28" s="4">
        <v>148.3</v>
      </c>
      <c r="D28" s="4">
        <f t="shared" si="2"/>
        <v>4.36312456</v>
      </c>
    </row>
    <row r="29" ht="14.25" customHeight="1">
      <c r="A29" s="17" t="s">
        <v>25</v>
      </c>
      <c r="B29" s="4">
        <v>136.7</v>
      </c>
      <c r="C29" s="4">
        <v>142.3</v>
      </c>
      <c r="D29" s="4">
        <f t="shared" si="2"/>
        <v>4.096561814</v>
      </c>
    </row>
    <row r="30" ht="14.25" customHeight="1">
      <c r="A30" s="17" t="s">
        <v>28</v>
      </c>
      <c r="B30" s="4">
        <v>136.9</v>
      </c>
      <c r="C30" s="4">
        <v>142.5</v>
      </c>
      <c r="D30" s="4">
        <f t="shared" si="2"/>
        <v>4.090577064</v>
      </c>
    </row>
    <row r="31" ht="14.25" customHeight="1">
      <c r="A31" s="17" t="s">
        <v>26</v>
      </c>
      <c r="B31" s="4">
        <v>150.2</v>
      </c>
      <c r="C31" s="4">
        <v>155.7</v>
      </c>
      <c r="D31" s="4">
        <f t="shared" si="2"/>
        <v>3.661784288</v>
      </c>
    </row>
    <row r="32" ht="14.25" customHeight="1">
      <c r="A32" s="17" t="s">
        <v>23</v>
      </c>
      <c r="B32" s="4">
        <v>145.1</v>
      </c>
      <c r="C32" s="4">
        <v>150.4</v>
      </c>
      <c r="D32" s="4">
        <f t="shared" si="2"/>
        <v>3.652653343</v>
      </c>
    </row>
    <row r="33" ht="14.25" customHeight="1">
      <c r="A33" s="17" t="s">
        <v>20</v>
      </c>
      <c r="B33" s="4">
        <v>147.7</v>
      </c>
      <c r="C33" s="4">
        <v>152.8</v>
      </c>
      <c r="D33" s="4">
        <f t="shared" si="2"/>
        <v>3.452945159</v>
      </c>
    </row>
    <row r="34" ht="14.25" customHeight="1">
      <c r="A34" s="17" t="s">
        <v>16</v>
      </c>
      <c r="B34" s="4">
        <v>163.2</v>
      </c>
      <c r="C34" s="4">
        <v>168.5</v>
      </c>
      <c r="D34" s="4">
        <f t="shared" si="2"/>
        <v>3.24754902</v>
      </c>
    </row>
    <row r="35" ht="14.25" customHeight="1">
      <c r="A35" s="17" t="s">
        <v>7</v>
      </c>
      <c r="B35" s="4">
        <v>121.8</v>
      </c>
      <c r="C35" s="4">
        <v>125.7</v>
      </c>
      <c r="D35" s="4">
        <f t="shared" si="2"/>
        <v>3.201970443</v>
      </c>
    </row>
    <row r="36" ht="14.25" customHeight="1">
      <c r="A36" s="17" t="s">
        <v>21</v>
      </c>
      <c r="B36" s="4">
        <v>139.5</v>
      </c>
      <c r="C36" s="4">
        <v>143.7</v>
      </c>
      <c r="D36" s="4">
        <f t="shared" si="2"/>
        <v>3.010752688</v>
      </c>
    </row>
    <row r="37" ht="14.25" customHeight="1">
      <c r="A37" s="17" t="s">
        <v>14</v>
      </c>
      <c r="B37" s="4">
        <v>154.6</v>
      </c>
      <c r="C37" s="4">
        <v>158.0</v>
      </c>
      <c r="D37" s="4">
        <f t="shared" si="2"/>
        <v>2.199223803</v>
      </c>
    </row>
    <row r="38" ht="14.25" customHeight="1">
      <c r="A38" s="17" t="s">
        <v>13</v>
      </c>
      <c r="B38" s="4">
        <v>133.3</v>
      </c>
      <c r="C38" s="4">
        <v>135.8</v>
      </c>
      <c r="D38" s="4">
        <f t="shared" si="2"/>
        <v>1.875468867</v>
      </c>
    </row>
    <row r="39" ht="14.25" customHeight="1">
      <c r="A39" s="17" t="s">
        <v>17</v>
      </c>
      <c r="B39" s="4">
        <v>147.6</v>
      </c>
      <c r="C39" s="4">
        <v>150.3</v>
      </c>
      <c r="D39" s="4">
        <f t="shared" si="2"/>
        <v>1.829268293</v>
      </c>
    </row>
    <row r="40" ht="14.25" customHeight="1">
      <c r="A40" s="17" t="s">
        <v>19</v>
      </c>
      <c r="B40" s="4">
        <v>146.4</v>
      </c>
      <c r="C40" s="4">
        <v>149.0</v>
      </c>
      <c r="D40" s="4">
        <f t="shared" si="2"/>
        <v>1.775956284</v>
      </c>
    </row>
    <row r="41" ht="14.25" customHeight="1">
      <c r="A41" s="17" t="s">
        <v>18</v>
      </c>
      <c r="B41" s="4">
        <v>139.0</v>
      </c>
      <c r="C41" s="4">
        <v>141.3</v>
      </c>
      <c r="D41" s="4">
        <f t="shared" si="2"/>
        <v>1.654676259</v>
      </c>
    </row>
    <row r="42" ht="14.25" customHeight="1">
      <c r="A42" s="17" t="s">
        <v>22</v>
      </c>
      <c r="B42" s="4">
        <v>143.6</v>
      </c>
      <c r="C42" s="4">
        <v>145.8</v>
      </c>
      <c r="D42" s="4">
        <f t="shared" si="2"/>
        <v>1.532033426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6:$D$16">
    <sortState ref="A16:D16">
      <sortCondition descending="1" ref="D16"/>
    </sortState>
  </autoFilter>
  <mergeCells count="1">
    <mergeCell ref="A15:D15"/>
  </mergeCells>
  <conditionalFormatting sqref="D17:D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0.86"/>
    <col customWidth="1" min="3" max="3" width="28.14"/>
    <col customWidth="1" min="4" max="4" width="8.71"/>
    <col customWidth="1" min="5" max="5" width="29.71"/>
    <col customWidth="1" min="6" max="6" width="17.43"/>
    <col customWidth="1" min="7" max="7" width="16.86"/>
    <col customWidth="1" min="8" max="8" width="20.71"/>
    <col customWidth="1" min="9" max="26" width="8.71"/>
  </cols>
  <sheetData>
    <row r="1" ht="21.75" customHeight="1">
      <c r="A1" s="18" t="s">
        <v>68</v>
      </c>
      <c r="B1" s="18" t="s">
        <v>69</v>
      </c>
      <c r="C1" s="18" t="s">
        <v>70</v>
      </c>
      <c r="E1" s="18" t="s">
        <v>64</v>
      </c>
      <c r="F1" s="18" t="s">
        <v>71</v>
      </c>
      <c r="G1" s="18" t="s">
        <v>72</v>
      </c>
      <c r="H1" s="18" t="s">
        <v>73</v>
      </c>
    </row>
    <row r="2" ht="14.25" customHeight="1">
      <c r="A2" s="19">
        <v>44682.0</v>
      </c>
      <c r="B2" s="4">
        <f>SUM('Data Clean'!D337:O337)</f>
        <v>2065.6</v>
      </c>
      <c r="C2" s="4"/>
      <c r="E2" s="17" t="s">
        <v>12</v>
      </c>
      <c r="F2" s="4">
        <v>184.9</v>
      </c>
      <c r="G2" s="4">
        <v>218.0</v>
      </c>
      <c r="H2" s="4">
        <f t="shared" ref="H2:H13" si="1">G2-F2</f>
        <v>33.1</v>
      </c>
    </row>
    <row r="3" ht="14.25" customHeight="1">
      <c r="A3" s="19">
        <v>44713.0</v>
      </c>
      <c r="B3" s="4">
        <f>SUM('Data Clean'!D340:O340)</f>
        <v>2087</v>
      </c>
      <c r="C3" s="20">
        <f t="shared" ref="C3:C14" si="2">(B3-B2)/B2*100</f>
        <v>1.03601859</v>
      </c>
      <c r="E3" s="17" t="s">
        <v>3</v>
      </c>
      <c r="F3" s="4">
        <v>154.1</v>
      </c>
      <c r="G3" s="4">
        <v>173.7</v>
      </c>
      <c r="H3" s="4">
        <f t="shared" si="1"/>
        <v>19.6</v>
      </c>
    </row>
    <row r="4" ht="14.25" customHeight="1">
      <c r="A4" s="19">
        <v>44743.0</v>
      </c>
      <c r="B4" s="4">
        <f>SUM('Data Clean'!D343:O343)</f>
        <v>2091.3</v>
      </c>
      <c r="C4" s="20">
        <f t="shared" si="2"/>
        <v>0.2060373742</v>
      </c>
      <c r="E4" s="17" t="s">
        <v>6</v>
      </c>
      <c r="F4" s="4">
        <v>164.9</v>
      </c>
      <c r="G4" s="4">
        <v>179.5</v>
      </c>
      <c r="H4" s="4">
        <f t="shared" si="1"/>
        <v>14.6</v>
      </c>
    </row>
    <row r="5" ht="14.25" customHeight="1">
      <c r="A5" s="19">
        <v>44774.0</v>
      </c>
      <c r="B5" s="4">
        <f>SUM('Data Clean'!D346:O346)</f>
        <v>2092.9</v>
      </c>
      <c r="C5" s="20">
        <f t="shared" si="2"/>
        <v>0.07650743557</v>
      </c>
      <c r="E5" s="17" t="s">
        <v>14</v>
      </c>
      <c r="F5" s="4">
        <v>182.5</v>
      </c>
      <c r="G5" s="4">
        <v>194.2</v>
      </c>
      <c r="H5" s="4">
        <f t="shared" si="1"/>
        <v>11.7</v>
      </c>
    </row>
    <row r="6" ht="14.25" customHeight="1">
      <c r="A6" s="19">
        <v>44805.0</v>
      </c>
      <c r="B6" s="4">
        <f>SUM('Data Clean'!D349:O349)</f>
        <v>2103.1</v>
      </c>
      <c r="C6" s="20">
        <f t="shared" si="2"/>
        <v>0.4873620335</v>
      </c>
      <c r="E6" s="17" t="s">
        <v>10</v>
      </c>
      <c r="F6" s="4">
        <v>164.7</v>
      </c>
      <c r="G6" s="4">
        <v>175.6</v>
      </c>
      <c r="H6" s="4">
        <f t="shared" si="1"/>
        <v>10.9</v>
      </c>
    </row>
    <row r="7" ht="14.25" customHeight="1">
      <c r="A7" s="19">
        <v>44835.0</v>
      </c>
      <c r="B7" s="4">
        <f>SUM('Data Clean'!D352:O352)</f>
        <v>2117.7</v>
      </c>
      <c r="C7" s="20">
        <f t="shared" si="2"/>
        <v>0.6942133042</v>
      </c>
      <c r="E7" s="17" t="s">
        <v>5</v>
      </c>
      <c r="F7" s="4">
        <v>162.4</v>
      </c>
      <c r="G7" s="4">
        <v>173.2</v>
      </c>
      <c r="H7" s="4">
        <f t="shared" si="1"/>
        <v>10.8</v>
      </c>
    </row>
    <row r="8" ht="14.25" customHeight="1">
      <c r="A8" s="19">
        <v>44866.0</v>
      </c>
      <c r="B8" s="4">
        <f>SUM('Data Clean'!D355:O355)</f>
        <v>2118.5</v>
      </c>
      <c r="C8" s="20">
        <f t="shared" si="2"/>
        <v>0.03777683336</v>
      </c>
      <c r="E8" s="17" t="s">
        <v>13</v>
      </c>
      <c r="F8" s="4">
        <v>167.1</v>
      </c>
      <c r="G8" s="4">
        <v>173.4</v>
      </c>
      <c r="H8" s="4">
        <f t="shared" si="1"/>
        <v>6.3</v>
      </c>
    </row>
    <row r="9" ht="14.25" customHeight="1">
      <c r="A9" s="19">
        <v>44896.0</v>
      </c>
      <c r="B9" s="4">
        <f>SUM('Data Clean'!D358:O358)</f>
        <v>2107.5</v>
      </c>
      <c r="C9" s="20">
        <f t="shared" si="2"/>
        <v>-0.519235308</v>
      </c>
      <c r="E9" s="17" t="s">
        <v>11</v>
      </c>
      <c r="F9" s="4">
        <v>119.7</v>
      </c>
      <c r="G9" s="4">
        <v>122.7</v>
      </c>
      <c r="H9" s="4">
        <f t="shared" si="1"/>
        <v>3</v>
      </c>
    </row>
    <row r="10" ht="14.25" customHeight="1">
      <c r="A10" s="19">
        <v>44927.0</v>
      </c>
      <c r="B10" s="4">
        <f>SUM('Data Clean'!D361:O361)</f>
        <v>2116</v>
      </c>
      <c r="C10" s="20">
        <f t="shared" si="2"/>
        <v>0.4033214709</v>
      </c>
      <c r="E10" s="17" t="s">
        <v>8</v>
      </c>
      <c r="F10" s="4">
        <v>171.0</v>
      </c>
      <c r="G10" s="4">
        <v>172.2</v>
      </c>
      <c r="H10" s="4">
        <f t="shared" si="1"/>
        <v>1.2</v>
      </c>
    </row>
    <row r="11" ht="14.25" customHeight="1">
      <c r="A11" s="19">
        <v>44958.0</v>
      </c>
      <c r="B11" s="4">
        <f>SUM('Data Clean'!D364:O364)</f>
        <v>2102.1</v>
      </c>
      <c r="C11" s="20">
        <f t="shared" si="2"/>
        <v>-0.656899811</v>
      </c>
      <c r="E11" s="17" t="s">
        <v>4</v>
      </c>
      <c r="F11" s="4">
        <v>217.0</v>
      </c>
      <c r="G11" s="4">
        <v>214.3</v>
      </c>
      <c r="H11" s="4">
        <f t="shared" si="1"/>
        <v>-2.7</v>
      </c>
    </row>
    <row r="12" ht="14.25" customHeight="1">
      <c r="A12" s="19">
        <v>44986.0</v>
      </c>
      <c r="B12" s="4">
        <f>SUM('Data Clean'!D367:O367)</f>
        <v>2102.2</v>
      </c>
      <c r="C12" s="20">
        <f t="shared" si="2"/>
        <v>0.004757147614</v>
      </c>
      <c r="E12" s="17" t="s">
        <v>9</v>
      </c>
      <c r="F12" s="4">
        <v>174.9</v>
      </c>
      <c r="G12" s="4">
        <v>161.0</v>
      </c>
      <c r="H12" s="4">
        <f t="shared" si="1"/>
        <v>-13.9</v>
      </c>
    </row>
    <row r="13" ht="14.25" customHeight="1">
      <c r="A13" s="19">
        <v>45017.0</v>
      </c>
      <c r="B13" s="4">
        <f>SUM('Data Clean'!D370:O370)</f>
        <v>2111.7</v>
      </c>
      <c r="C13" s="20">
        <f t="shared" si="2"/>
        <v>0.4519075254</v>
      </c>
      <c r="E13" s="17" t="s">
        <v>7</v>
      </c>
      <c r="F13" s="4">
        <v>202.4</v>
      </c>
      <c r="G13" s="4">
        <v>170.0</v>
      </c>
      <c r="H13" s="4">
        <f t="shared" si="1"/>
        <v>-32.4</v>
      </c>
    </row>
    <row r="14" ht="14.25" customHeight="1">
      <c r="A14" s="19">
        <v>45047.0</v>
      </c>
      <c r="B14" s="4">
        <f>SUM('Data Clean'!D373:O373)</f>
        <v>2127.8</v>
      </c>
      <c r="C14" s="20">
        <f t="shared" si="2"/>
        <v>0.7624189042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E$1:$H$1">
    <sortState ref="E1:H1">
      <sortCondition descending="1" ref="H1"/>
    </sortState>
  </autoFilter>
  <conditionalFormatting sqref="C2:C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5.14"/>
    <col customWidth="1" min="4" max="4" width="16.0"/>
    <col customWidth="1" min="5" max="5" width="14.71"/>
    <col customWidth="1" min="6" max="6" width="11.29"/>
    <col customWidth="1" min="7" max="7" width="13.86"/>
    <col customWidth="1" min="8" max="8" width="13.43"/>
    <col customWidth="1" min="9" max="9" width="16.43"/>
    <col customWidth="1" min="10" max="10" width="12.71"/>
    <col customWidth="1" min="11" max="11" width="8.71"/>
    <col customWidth="1" min="12" max="12" width="14.29"/>
    <col customWidth="1" min="13" max="15" width="10.57"/>
    <col customWidth="1" min="16" max="26" width="8.71"/>
  </cols>
  <sheetData>
    <row r="1" ht="14.25" customHeight="1">
      <c r="A1" s="21" t="s">
        <v>1</v>
      </c>
      <c r="B1" s="21" t="s">
        <v>2</v>
      </c>
      <c r="C1" s="21" t="s">
        <v>74</v>
      </c>
      <c r="D1" s="21" t="s">
        <v>75</v>
      </c>
      <c r="E1" s="21" t="s">
        <v>76</v>
      </c>
      <c r="F1" s="21" t="s">
        <v>77</v>
      </c>
      <c r="G1" s="21" t="s">
        <v>78</v>
      </c>
      <c r="H1" s="21" t="s">
        <v>79</v>
      </c>
      <c r="I1" s="21" t="s">
        <v>80</v>
      </c>
      <c r="J1" s="21" t="s">
        <v>81</v>
      </c>
    </row>
    <row r="2" ht="14.25" customHeight="1">
      <c r="A2" s="4">
        <v>2019.0</v>
      </c>
      <c r="B2" s="4" t="s">
        <v>46</v>
      </c>
      <c r="C2" s="4">
        <f>SUMIFS('Data Clean'!$AD:$AD, 'Data Clean'!$A:$A, "Rural+Urban", 'Data Clean'!$B:$B, $A2, 'Data Clean'!$C:$C, $B2)</f>
        <v>150.4</v>
      </c>
      <c r="D2" s="4">
        <f>SUMIFS('Data Clean'!$X:$X, 'Data Clean'!$A:$A, "Rural+Urban", 'Data Clean'!$B:$B, $A2, 'Data Clean'!$C:$C, $B2)</f>
        <v>150.4</v>
      </c>
      <c r="E2" s="4">
        <f>SUMIFS('Data Clean'!$Y:$Y, 'Data Clean'!$A:$A, "Rural+Urban", 'Data Clean'!$B:$B, $A2, 'Data Clean'!$C:$C, $B2)</f>
        <v>129.8</v>
      </c>
      <c r="F2" s="4">
        <f>SUMIFS('Data Clean'!$P:$P, 'Data Clean'!$A:$A, "Rural+Urban", 'Data Clean'!$B:$B, $A2, 'Data Clean'!$C:$C, $B2)</f>
        <v>155</v>
      </c>
      <c r="G2" s="20"/>
      <c r="H2" s="20"/>
      <c r="I2" s="20"/>
      <c r="J2" s="20"/>
    </row>
    <row r="3" ht="14.25" customHeight="1">
      <c r="A3" s="4">
        <v>2020.0</v>
      </c>
      <c r="B3" s="4" t="s">
        <v>31</v>
      </c>
      <c r="C3" s="4">
        <f>SUMIFS('Data Clean'!$AD:$AD, 'Data Clean'!$A:$A, "Rural+Urban", 'Data Clean'!$B:$B, $A3, 'Data Clean'!$C:$C, $B3)</f>
        <v>150.2</v>
      </c>
      <c r="D3" s="4">
        <f>SUMIFS('Data Clean'!$X:$X, 'Data Clean'!$A:$A, "Rural+Urban", 'Data Clean'!$B:$B, $A3, 'Data Clean'!$C:$C, $B3)</f>
        <v>151.2</v>
      </c>
      <c r="E3" s="4">
        <f>SUMIFS('Data Clean'!$Y:$Y, 'Data Clean'!$A:$A, "Rural+Urban", 'Data Clean'!$B:$B, $A3, 'Data Clean'!$C:$C, $B3)</f>
        <v>130.9</v>
      </c>
      <c r="F3" s="4">
        <f>SUMIFS('Data Clean'!$P:$P, 'Data Clean'!$A:$A, "Rural+Urban", 'Data Clean'!$B:$B, $A3, 'Data Clean'!$C:$C, $B3)</f>
        <v>153.5</v>
      </c>
      <c r="G3" s="20">
        <f t="shared" ref="G3:J3" si="1">((C3 - C2) / C2) * 100</f>
        <v>-0.1329787234</v>
      </c>
      <c r="H3" s="20">
        <f t="shared" si="1"/>
        <v>0.5319148936</v>
      </c>
      <c r="I3" s="20">
        <f t="shared" si="1"/>
        <v>0.8474576271</v>
      </c>
      <c r="J3" s="20">
        <f t="shared" si="1"/>
        <v>-0.9677419355</v>
      </c>
      <c r="L3" s="22" t="s">
        <v>82</v>
      </c>
      <c r="M3" s="14"/>
      <c r="N3" s="14"/>
      <c r="O3" s="15"/>
    </row>
    <row r="4" ht="14.25" customHeight="1">
      <c r="A4" s="4">
        <v>2020.0</v>
      </c>
      <c r="B4" s="4" t="s">
        <v>35</v>
      </c>
      <c r="C4" s="4">
        <f>SUMIFS('Data Clean'!$AD:$AD, 'Data Clean'!$A:$A, "Rural+Urban", 'Data Clean'!$B:$B, $A4, 'Data Clean'!$C:$C, $B4)</f>
        <v>149.1</v>
      </c>
      <c r="D4" s="4">
        <f>SUMIFS('Data Clean'!$X:$X, 'Data Clean'!$A:$A, "Rural+Urban", 'Data Clean'!$B:$B, $A4, 'Data Clean'!$C:$C, $B4)</f>
        <v>151.7</v>
      </c>
      <c r="E4" s="4">
        <f>SUMIFS('Data Clean'!$Y:$Y, 'Data Clean'!$A:$A, "Rural+Urban", 'Data Clean'!$B:$B, $A4, 'Data Clean'!$C:$C, $B4)</f>
        <v>130.3</v>
      </c>
      <c r="F4" s="4">
        <f>SUMIFS('Data Clean'!$P:$P, 'Data Clean'!$A:$A, "Rural+Urban", 'Data Clean'!$B:$B, $A4, 'Data Clean'!$C:$C, $B4)</f>
        <v>150.5</v>
      </c>
      <c r="G4" s="20">
        <f t="shared" ref="G4:J4" si="2">((C4 - C3) / C3) * 100</f>
        <v>-0.7323568575</v>
      </c>
      <c r="H4" s="20">
        <f t="shared" si="2"/>
        <v>0.3306878307</v>
      </c>
      <c r="I4" s="20">
        <f t="shared" si="2"/>
        <v>-0.4583651642</v>
      </c>
      <c r="J4" s="20">
        <f t="shared" si="2"/>
        <v>-1.954397394</v>
      </c>
      <c r="L4" s="21" t="s">
        <v>83</v>
      </c>
      <c r="M4" s="21" t="s">
        <v>23</v>
      </c>
      <c r="N4" s="21" t="s">
        <v>84</v>
      </c>
      <c r="O4" s="21" t="s">
        <v>52</v>
      </c>
    </row>
    <row r="5" ht="14.25" customHeight="1">
      <c r="A5" s="4">
        <v>2020.0</v>
      </c>
      <c r="B5" s="4" t="s">
        <v>36</v>
      </c>
      <c r="C5" s="4">
        <f>SUMIFS('Data Clean'!$AD:$AD, 'Data Clean'!$A:$A, "Rural+Urban", 'Data Clean'!$B:$B, $A5, 'Data Clean'!$C:$C, $B5)</f>
        <v>148.6</v>
      </c>
      <c r="D5" s="4">
        <f>SUMIFS('Data Clean'!$X:$X, 'Data Clean'!$A:$A, "Rural+Urban", 'Data Clean'!$B:$B, $A5, 'Data Clean'!$C:$C, $B5)</f>
        <v>152.3</v>
      </c>
      <c r="E5" s="4">
        <f>SUMIFS('Data Clean'!$Y:$Y, 'Data Clean'!$A:$A, "Rural+Urban", 'Data Clean'!$B:$B, $A5, 'Data Clean'!$C:$C, $B5)</f>
        <v>129.9</v>
      </c>
      <c r="F5" s="4">
        <f>SUMIFS('Data Clean'!$P:$P, 'Data Clean'!$A:$A, "Rural+Urban", 'Data Clean'!$B:$B, $A5, 'Data Clean'!$C:$C, $B5)</f>
        <v>148.9</v>
      </c>
      <c r="G5" s="20">
        <f t="shared" ref="G5:J5" si="3">((C5 - C4) / C4) * 100</f>
        <v>-0.3353454058</v>
      </c>
      <c r="H5" s="20">
        <f t="shared" si="3"/>
        <v>0.3955174687</v>
      </c>
      <c r="I5" s="20">
        <f t="shared" si="3"/>
        <v>-0.3069838833</v>
      </c>
      <c r="J5" s="20">
        <f t="shared" si="3"/>
        <v>-1.063122924</v>
      </c>
      <c r="L5" s="20">
        <f t="shared" ref="L5:O5" si="4">AVERAGE(G2:G4)</f>
        <v>-0.4326677905</v>
      </c>
      <c r="M5" s="20">
        <f t="shared" si="4"/>
        <v>0.4313013622</v>
      </c>
      <c r="N5" s="20">
        <f t="shared" si="4"/>
        <v>0.1945462314</v>
      </c>
      <c r="O5" s="20">
        <f t="shared" si="4"/>
        <v>-1.461069665</v>
      </c>
    </row>
    <row r="6" ht="14.25" customHeight="1">
      <c r="A6" s="4">
        <v>2020.0</v>
      </c>
      <c r="B6" s="4" t="s">
        <v>37</v>
      </c>
      <c r="C6" s="4">
        <f>SUMIFS('Data Clean'!$AD:$AD, 'Data Clean'!$A:$A, "Rural+Urban", 'Data Clean'!$B:$B, $A6, 'Data Clean'!$C:$C, $B6)</f>
        <v>149.3</v>
      </c>
      <c r="D6" s="4">
        <f>SUMIFS('Data Clean'!$X:$X, 'Data Clean'!$A:$A, "Rural+Urban", 'Data Clean'!$B:$B, $A6, 'Data Clean'!$C:$C, $B6)</f>
        <v>150.7</v>
      </c>
      <c r="E6" s="4">
        <f>SUMIFS('Data Clean'!$Y:$Y, 'Data Clean'!$A:$A, "Rural+Urban", 'Data Clean'!$B:$B, $A6, 'Data Clean'!$C:$C, $B6)</f>
        <v>130.4</v>
      </c>
      <c r="F6" s="4">
        <f>SUMIFS('Data Clean'!$P:$P, 'Data Clean'!$A:$A, "Rural+Urban", 'Data Clean'!$B:$B, $A6, 'Data Clean'!$C:$C, $B6)</f>
        <v>151.4</v>
      </c>
      <c r="G6" s="20">
        <f t="shared" ref="G6:J6" si="5">((C6 - C5) / C5) * 100</f>
        <v>0.4710632571</v>
      </c>
      <c r="H6" s="20">
        <f t="shared" si="5"/>
        <v>-1.050558109</v>
      </c>
      <c r="I6" s="20">
        <f t="shared" si="5"/>
        <v>0.3849114704</v>
      </c>
      <c r="J6" s="20">
        <f t="shared" si="5"/>
        <v>1.678979181</v>
      </c>
    </row>
    <row r="7" ht="14.25" customHeight="1">
      <c r="A7" s="4">
        <v>2020.0</v>
      </c>
      <c r="B7" s="4" t="s">
        <v>38</v>
      </c>
      <c r="C7" s="4">
        <f>SUMIFS('Data Clean'!$AD:$AD, 'Data Clean'!$A:$A, "Rural+Urban", 'Data Clean'!$B:$B, $A7, 'Data Clean'!$C:$C, $B7)</f>
        <v>149</v>
      </c>
      <c r="D7" s="4">
        <f>SUMIFS('Data Clean'!$X:$X, 'Data Clean'!$A:$A, "Rural+Urban", 'Data Clean'!$B:$B, $A7, 'Data Clean'!$C:$C, $B7)</f>
        <v>151.6</v>
      </c>
      <c r="E7" s="4">
        <f>SUMIFS('Data Clean'!$Y:$Y, 'Data Clean'!$A:$A, "Rural+Urban", 'Data Clean'!$B:$B, $A7, 'Data Clean'!$C:$C, $B7)</f>
        <v>130.2</v>
      </c>
      <c r="F7" s="4">
        <f>SUMIFS('Data Clean'!$P:$P, 'Data Clean'!$A:$A, "Rural+Urban", 'Data Clean'!$B:$B, $A7, 'Data Clean'!$C:$C, $B7)</f>
        <v>150.3</v>
      </c>
      <c r="G7" s="20">
        <f t="shared" ref="G7:J7" si="6">((C7 - C6) / C6) * 100</f>
        <v>-0.2009377093</v>
      </c>
      <c r="H7" s="20">
        <f t="shared" si="6"/>
        <v>0.597213006</v>
      </c>
      <c r="I7" s="20">
        <f t="shared" si="6"/>
        <v>-0.1533742331</v>
      </c>
      <c r="J7" s="20">
        <f t="shared" si="6"/>
        <v>-0.7265521797</v>
      </c>
    </row>
    <row r="8" ht="14.25" customHeight="1">
      <c r="A8" s="4">
        <v>2020.0</v>
      </c>
      <c r="B8" s="4" t="s">
        <v>39</v>
      </c>
      <c r="C8" s="4">
        <f>SUMIFS('Data Clean'!$AD:$AD, 'Data Clean'!$A:$A, "Rural+Urban", 'Data Clean'!$B:$B, $A8, 'Data Clean'!$C:$C, $B8)</f>
        <v>151.8</v>
      </c>
      <c r="D8" s="4">
        <f>SUMIFS('Data Clean'!$X:$X, 'Data Clean'!$A:$A, "Rural+Urban", 'Data Clean'!$B:$B, $A8, 'Data Clean'!$C:$C, $B8)</f>
        <v>154.4</v>
      </c>
      <c r="E8" s="4">
        <f>SUMIFS('Data Clean'!$Y:$Y, 'Data Clean'!$A:$A, "Rural+Urban", 'Data Clean'!$B:$B, $A8, 'Data Clean'!$C:$C, $B8)</f>
        <v>135</v>
      </c>
      <c r="F8" s="4">
        <f>SUMIFS('Data Clean'!$P:$P, 'Data Clean'!$A:$A, "Rural+Urban", 'Data Clean'!$B:$B, $A8, 'Data Clean'!$C:$C, $B8)</f>
        <v>154</v>
      </c>
      <c r="G8" s="20">
        <f t="shared" ref="G8:J8" si="7">((C8 - C7) / C7) * 100</f>
        <v>1.879194631</v>
      </c>
      <c r="H8" s="20">
        <f t="shared" si="7"/>
        <v>1.846965699</v>
      </c>
      <c r="I8" s="20">
        <f t="shared" si="7"/>
        <v>3.686635945</v>
      </c>
      <c r="J8" s="20">
        <f t="shared" si="7"/>
        <v>2.46174318</v>
      </c>
    </row>
    <row r="9" ht="14.25" customHeight="1">
      <c r="L9" s="22" t="s">
        <v>85</v>
      </c>
      <c r="M9" s="14"/>
      <c r="N9" s="14"/>
      <c r="O9" s="15"/>
    </row>
    <row r="10" ht="14.25" customHeight="1">
      <c r="L10" s="21" t="s">
        <v>83</v>
      </c>
      <c r="M10" s="21" t="s">
        <v>23</v>
      </c>
      <c r="N10" s="21" t="s">
        <v>84</v>
      </c>
      <c r="O10" s="21" t="s">
        <v>52</v>
      </c>
    </row>
    <row r="11" ht="14.25" customHeight="1">
      <c r="L11" s="20">
        <f t="shared" ref="L11:O11" si="8">AVERAGE(G6:G8)</f>
        <v>0.7164400595</v>
      </c>
      <c r="M11" s="20">
        <f t="shared" si="8"/>
        <v>0.4645401987</v>
      </c>
      <c r="N11" s="20">
        <f t="shared" si="8"/>
        <v>1.306057727</v>
      </c>
      <c r="O11" s="20">
        <f t="shared" si="8"/>
        <v>1.138056727</v>
      </c>
    </row>
    <row r="12" ht="14.25" customHeight="1">
      <c r="I12" s="23"/>
    </row>
    <row r="13" ht="14.25" customHeight="1">
      <c r="L13" s="22" t="s">
        <v>86</v>
      </c>
      <c r="M13" s="14"/>
      <c r="N13" s="14"/>
      <c r="O13" s="15"/>
    </row>
    <row r="14" ht="14.25" customHeight="1">
      <c r="L14" s="21" t="s">
        <v>83</v>
      </c>
      <c r="M14" s="21" t="s">
        <v>23</v>
      </c>
      <c r="N14" s="21" t="s">
        <v>84</v>
      </c>
      <c r="O14" s="21" t="s">
        <v>52</v>
      </c>
    </row>
    <row r="15" ht="14.25" customHeight="1">
      <c r="L15" s="20">
        <f t="shared" ref="L15:O15" si="9">L11-L5</f>
        <v>1.14910785</v>
      </c>
      <c r="M15" s="20">
        <f t="shared" si="9"/>
        <v>0.03323883658</v>
      </c>
      <c r="N15" s="20">
        <f t="shared" si="9"/>
        <v>1.111511496</v>
      </c>
      <c r="O15" s="20">
        <f t="shared" si="9"/>
        <v>2.599126392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L3:O3"/>
    <mergeCell ref="L9:O9"/>
    <mergeCell ref="L13:O13"/>
  </mergeCells>
  <conditionalFormatting sqref="G2:J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1.29"/>
    <col customWidth="1" min="3" max="3" width="16.0"/>
    <col customWidth="1" min="4" max="4" width="12.29"/>
    <col customWidth="1" min="5" max="5" width="16.86"/>
    <col customWidth="1" min="6" max="6" width="11.43"/>
    <col customWidth="1" min="7" max="7" width="15.86"/>
    <col customWidth="1" min="8" max="8" width="16.29"/>
    <col customWidth="1" min="9" max="9" width="20.86"/>
    <col customWidth="1" min="10" max="10" width="10.71"/>
    <col customWidth="1" min="11" max="11" width="20.71"/>
    <col customWidth="1" min="12" max="12" width="33.14"/>
    <col customWidth="1" min="13" max="26" width="8.71"/>
  </cols>
  <sheetData>
    <row r="1" ht="14.25" customHeight="1">
      <c r="A1" s="3" t="s">
        <v>87</v>
      </c>
      <c r="B1" s="3" t="s">
        <v>88</v>
      </c>
      <c r="C1" s="24" t="s">
        <v>89</v>
      </c>
      <c r="D1" s="3" t="s">
        <v>90</v>
      </c>
      <c r="E1" s="24" t="s">
        <v>91</v>
      </c>
      <c r="F1" s="3" t="s">
        <v>92</v>
      </c>
      <c r="G1" s="24" t="s">
        <v>93</v>
      </c>
      <c r="H1" s="3" t="s">
        <v>94</v>
      </c>
      <c r="I1" s="24" t="s">
        <v>95</v>
      </c>
    </row>
    <row r="2" ht="14.25" customHeight="1">
      <c r="A2" s="19">
        <v>44197.0</v>
      </c>
      <c r="B2" s="4">
        <v>150.9</v>
      </c>
      <c r="C2" s="25"/>
      <c r="D2" s="4">
        <v>161.0</v>
      </c>
      <c r="E2" s="25"/>
      <c r="F2" s="4">
        <v>147.9</v>
      </c>
      <c r="G2" s="25"/>
      <c r="H2" s="4">
        <v>141.9</v>
      </c>
      <c r="I2" s="25"/>
    </row>
    <row r="3" ht="14.25" customHeight="1">
      <c r="A3" s="19">
        <v>44228.0</v>
      </c>
      <c r="B3" s="4">
        <v>158.7</v>
      </c>
      <c r="C3" s="25">
        <f t="shared" ref="C3:C30" si="1">(B3-B2)/B2</f>
        <v>0.05168986083</v>
      </c>
      <c r="D3" s="4">
        <v>156.9</v>
      </c>
      <c r="E3" s="25">
        <f t="shared" ref="E3:E30" si="2">(D3-D2)/D2</f>
        <v>-0.02546583851</v>
      </c>
      <c r="F3" s="4">
        <v>152.4</v>
      </c>
      <c r="G3" s="25">
        <f t="shared" ref="G3:G30" si="3">(F3-F2)/F2</f>
        <v>0.03042596349</v>
      </c>
      <c r="H3" s="4">
        <v>145.1</v>
      </c>
      <c r="I3" s="25">
        <f t="shared" ref="I3:I30" si="4">(H3-H2)/H2</f>
        <v>0.02255109232</v>
      </c>
      <c r="J3" s="26" t="s">
        <v>64</v>
      </c>
      <c r="K3" s="27" t="s">
        <v>96</v>
      </c>
      <c r="L3" s="27" t="s">
        <v>97</v>
      </c>
    </row>
    <row r="4" ht="14.25" customHeight="1">
      <c r="A4" s="19">
        <v>44256.0</v>
      </c>
      <c r="B4" s="4">
        <v>163.9</v>
      </c>
      <c r="C4" s="25">
        <f t="shared" si="1"/>
        <v>0.03276622558</v>
      </c>
      <c r="D4" s="4">
        <v>156.7</v>
      </c>
      <c r="E4" s="25">
        <f t="shared" si="2"/>
        <v>-0.001274697259</v>
      </c>
      <c r="F4" s="4">
        <v>155.5</v>
      </c>
      <c r="G4" s="25">
        <f t="shared" si="3"/>
        <v>0.02034120735</v>
      </c>
      <c r="H4" s="4">
        <v>146.2</v>
      </c>
      <c r="I4" s="25">
        <f t="shared" si="4"/>
        <v>0.007580978635</v>
      </c>
      <c r="J4" s="28" t="s">
        <v>52</v>
      </c>
      <c r="K4" s="29">
        <f>CORREL(C3:C30,E3:E30)</f>
        <v>0.06001655123</v>
      </c>
      <c r="L4" s="29" t="s">
        <v>98</v>
      </c>
    </row>
    <row r="5" ht="14.25" customHeight="1">
      <c r="A5" s="19">
        <v>44287.0</v>
      </c>
      <c r="B5" s="4">
        <v>170.1</v>
      </c>
      <c r="C5" s="25">
        <f t="shared" si="1"/>
        <v>0.03782794387</v>
      </c>
      <c r="D5" s="4">
        <v>158.0</v>
      </c>
      <c r="E5" s="25">
        <f t="shared" si="2"/>
        <v>0.008296107211</v>
      </c>
      <c r="F5" s="4">
        <v>155.6</v>
      </c>
      <c r="G5" s="25">
        <f t="shared" si="3"/>
        <v>0.0006430868167</v>
      </c>
      <c r="H5" s="4">
        <v>146.6</v>
      </c>
      <c r="I5" s="25">
        <f t="shared" si="4"/>
        <v>0.002735978112</v>
      </c>
      <c r="J5" s="28" t="s">
        <v>99</v>
      </c>
      <c r="K5" s="29">
        <f>CORREL(C3:C30,G3:G30)</f>
        <v>0.5570040119</v>
      </c>
      <c r="L5" s="29" t="s">
        <v>100</v>
      </c>
    </row>
    <row r="6" ht="14.25" customHeight="1">
      <c r="A6" s="19">
        <v>44317.0</v>
      </c>
      <c r="B6" s="4">
        <v>178.7</v>
      </c>
      <c r="C6" s="25">
        <f t="shared" si="1"/>
        <v>0.050558495</v>
      </c>
      <c r="D6" s="4">
        <v>160.7</v>
      </c>
      <c r="E6" s="25">
        <f t="shared" si="2"/>
        <v>0.01708860759</v>
      </c>
      <c r="F6" s="4">
        <v>159.4</v>
      </c>
      <c r="G6" s="25">
        <f t="shared" si="3"/>
        <v>0.02442159383</v>
      </c>
      <c r="H6" s="4">
        <v>148.9</v>
      </c>
      <c r="I6" s="25">
        <f t="shared" si="4"/>
        <v>0.01568894952</v>
      </c>
      <c r="J6" s="28" t="s">
        <v>84</v>
      </c>
      <c r="K6" s="29">
        <f>CORREL(C3:C30,I3:I30)</f>
        <v>0.4864103467</v>
      </c>
      <c r="L6" s="29" t="s">
        <v>101</v>
      </c>
    </row>
    <row r="7" ht="14.25" customHeight="1">
      <c r="A7" s="19">
        <v>44348.0</v>
      </c>
      <c r="B7" s="4">
        <v>183.7</v>
      </c>
      <c r="C7" s="25">
        <f t="shared" si="1"/>
        <v>0.0279798545</v>
      </c>
      <c r="D7" s="4">
        <v>162.6</v>
      </c>
      <c r="E7" s="25">
        <f t="shared" si="2"/>
        <v>0.01182327318</v>
      </c>
      <c r="F7" s="4">
        <v>159.8</v>
      </c>
      <c r="G7" s="25">
        <f t="shared" si="3"/>
        <v>0.002509410289</v>
      </c>
      <c r="H7" s="4">
        <v>150.7</v>
      </c>
      <c r="I7" s="25">
        <f t="shared" si="4"/>
        <v>0.0120886501</v>
      </c>
    </row>
    <row r="8" ht="14.25" customHeight="1">
      <c r="A8" s="19">
        <v>44378.0</v>
      </c>
      <c r="B8" s="4">
        <v>182.1</v>
      </c>
      <c r="C8" s="25">
        <f t="shared" si="1"/>
        <v>-0.008709853021</v>
      </c>
      <c r="D8" s="4">
        <v>164.0</v>
      </c>
      <c r="E8" s="25">
        <f t="shared" si="2"/>
        <v>0.008610086101</v>
      </c>
      <c r="F8" s="4">
        <v>160.7</v>
      </c>
      <c r="G8" s="25">
        <f t="shared" si="3"/>
        <v>0.00563204005</v>
      </c>
      <c r="H8" s="4">
        <v>153.1</v>
      </c>
      <c r="I8" s="25">
        <f t="shared" si="4"/>
        <v>0.01592568016</v>
      </c>
    </row>
    <row r="9" ht="14.25" customHeight="1">
      <c r="A9" s="19">
        <v>44409.0</v>
      </c>
      <c r="B9" s="4">
        <v>188.0</v>
      </c>
      <c r="C9" s="25">
        <f t="shared" si="1"/>
        <v>0.03239978034</v>
      </c>
      <c r="D9" s="4">
        <v>164.0</v>
      </c>
      <c r="E9" s="25">
        <f t="shared" si="2"/>
        <v>0</v>
      </c>
      <c r="F9" s="4">
        <v>162.6</v>
      </c>
      <c r="G9" s="25">
        <f t="shared" si="3"/>
        <v>0.01182327318</v>
      </c>
      <c r="H9" s="4">
        <v>154.0</v>
      </c>
      <c r="I9" s="25">
        <f t="shared" si="4"/>
        <v>0.005878510777</v>
      </c>
    </row>
    <row r="10" ht="14.25" customHeight="1">
      <c r="A10" s="19">
        <v>44440.0</v>
      </c>
      <c r="B10" s="4">
        <v>188.0</v>
      </c>
      <c r="C10" s="25">
        <f t="shared" si="1"/>
        <v>0</v>
      </c>
      <c r="D10" s="4">
        <v>164.0</v>
      </c>
      <c r="E10" s="25">
        <f t="shared" si="2"/>
        <v>0</v>
      </c>
      <c r="F10" s="4">
        <v>162.6</v>
      </c>
      <c r="G10" s="25">
        <f t="shared" si="3"/>
        <v>0</v>
      </c>
      <c r="H10" s="4">
        <v>154.0</v>
      </c>
      <c r="I10" s="25">
        <f t="shared" si="4"/>
        <v>0</v>
      </c>
    </row>
    <row r="11" ht="14.25" customHeight="1">
      <c r="A11" s="19">
        <v>44470.0</v>
      </c>
      <c r="B11" s="4">
        <v>190.6</v>
      </c>
      <c r="C11" s="25">
        <f t="shared" si="1"/>
        <v>0.01382978723</v>
      </c>
      <c r="D11" s="4">
        <v>167.7</v>
      </c>
      <c r="E11" s="25">
        <f t="shared" si="2"/>
        <v>0.02256097561</v>
      </c>
      <c r="F11" s="4">
        <v>164.2</v>
      </c>
      <c r="G11" s="25">
        <f t="shared" si="3"/>
        <v>0.009840098401</v>
      </c>
      <c r="H11" s="4">
        <v>155.7</v>
      </c>
      <c r="I11" s="25">
        <f t="shared" si="4"/>
        <v>0.01103896104</v>
      </c>
    </row>
    <row r="12" ht="14.25" customHeight="1">
      <c r="A12" s="19">
        <v>44501.0</v>
      </c>
      <c r="B12" s="4">
        <v>190.1</v>
      </c>
      <c r="C12" s="25">
        <f t="shared" si="1"/>
        <v>-0.002623294858</v>
      </c>
      <c r="D12" s="4">
        <v>169.7</v>
      </c>
      <c r="E12" s="25">
        <f t="shared" si="2"/>
        <v>0.01192605844</v>
      </c>
      <c r="F12" s="4">
        <v>163.9</v>
      </c>
      <c r="G12" s="25">
        <f t="shared" si="3"/>
        <v>-0.001827040195</v>
      </c>
      <c r="H12" s="4">
        <v>154.8</v>
      </c>
      <c r="I12" s="25">
        <f t="shared" si="4"/>
        <v>-0.005780346821</v>
      </c>
    </row>
    <row r="13" ht="14.25" customHeight="1">
      <c r="A13" s="19">
        <v>44531.0</v>
      </c>
      <c r="B13" s="4">
        <v>187.6</v>
      </c>
      <c r="C13" s="25">
        <f t="shared" si="1"/>
        <v>-0.01315097317</v>
      </c>
      <c r="D13" s="4">
        <v>168.2</v>
      </c>
      <c r="E13" s="25">
        <f t="shared" si="2"/>
        <v>-0.008839127873</v>
      </c>
      <c r="F13" s="4">
        <v>164.1</v>
      </c>
      <c r="G13" s="25">
        <f t="shared" si="3"/>
        <v>0.001220256254</v>
      </c>
      <c r="H13" s="4">
        <v>155.7</v>
      </c>
      <c r="I13" s="25">
        <f t="shared" si="4"/>
        <v>0.005813953488</v>
      </c>
    </row>
    <row r="14" ht="14.25" customHeight="1">
      <c r="A14" s="19">
        <v>44562.0</v>
      </c>
      <c r="B14" s="4">
        <v>184.7</v>
      </c>
      <c r="C14" s="25">
        <f t="shared" si="1"/>
        <v>-0.01545842217</v>
      </c>
      <c r="D14" s="4">
        <v>166.4</v>
      </c>
      <c r="E14" s="25">
        <f t="shared" si="2"/>
        <v>-0.01070154578</v>
      </c>
      <c r="F14" s="4">
        <v>164.2</v>
      </c>
      <c r="G14" s="25">
        <f t="shared" si="3"/>
        <v>0.0006093845216</v>
      </c>
      <c r="H14" s="4">
        <v>156.5</v>
      </c>
      <c r="I14" s="25">
        <f t="shared" si="4"/>
        <v>0.005138086063</v>
      </c>
    </row>
    <row r="15" ht="14.25" customHeight="1">
      <c r="A15" s="19">
        <v>44593.0</v>
      </c>
      <c r="B15" s="4">
        <v>184.9</v>
      </c>
      <c r="C15" s="25">
        <f t="shared" si="1"/>
        <v>0.001082837033</v>
      </c>
      <c r="D15" s="4">
        <v>166.2</v>
      </c>
      <c r="E15" s="25">
        <f t="shared" si="2"/>
        <v>-0.001201923077</v>
      </c>
      <c r="F15" s="4">
        <v>165.7</v>
      </c>
      <c r="G15" s="25">
        <f t="shared" si="3"/>
        <v>0.009135200974</v>
      </c>
      <c r="H15" s="4">
        <v>156.9</v>
      </c>
      <c r="I15" s="25">
        <f t="shared" si="4"/>
        <v>0.002555910543</v>
      </c>
    </row>
    <row r="16" ht="14.25" customHeight="1">
      <c r="A16" s="19">
        <v>44621.0</v>
      </c>
      <c r="B16" s="4">
        <v>194.6</v>
      </c>
      <c r="C16" s="25">
        <f t="shared" si="1"/>
        <v>0.05246078962</v>
      </c>
      <c r="D16" s="4">
        <v>168.4</v>
      </c>
      <c r="E16" s="25">
        <f t="shared" si="2"/>
        <v>0.01323706378</v>
      </c>
      <c r="F16" s="4">
        <v>167.2</v>
      </c>
      <c r="G16" s="25">
        <f t="shared" si="3"/>
        <v>0.009052504526</v>
      </c>
      <c r="H16" s="4">
        <v>157.9</v>
      </c>
      <c r="I16" s="25">
        <f t="shared" si="4"/>
        <v>0.006373486297</v>
      </c>
    </row>
    <row r="17" ht="14.25" customHeight="1">
      <c r="A17" s="19">
        <v>44652.0</v>
      </c>
      <c r="B17" s="4">
        <v>199.5</v>
      </c>
      <c r="C17" s="25">
        <f t="shared" si="1"/>
        <v>0.02517985612</v>
      </c>
      <c r="D17" s="4">
        <v>170.8</v>
      </c>
      <c r="E17" s="25">
        <f t="shared" si="2"/>
        <v>0.01425178147</v>
      </c>
      <c r="F17" s="4">
        <v>172.2</v>
      </c>
      <c r="G17" s="25">
        <f t="shared" si="3"/>
        <v>0.02990430622</v>
      </c>
      <c r="H17" s="4">
        <v>162.6</v>
      </c>
      <c r="I17" s="25">
        <f t="shared" si="4"/>
        <v>0.02976567448</v>
      </c>
    </row>
    <row r="18" ht="14.25" customHeight="1">
      <c r="A18" s="19">
        <v>44682.0</v>
      </c>
      <c r="B18" s="4">
        <v>202.4</v>
      </c>
      <c r="C18" s="25">
        <f t="shared" si="1"/>
        <v>0.01453634085</v>
      </c>
      <c r="D18" s="4">
        <v>173.3</v>
      </c>
      <c r="E18" s="25">
        <f t="shared" si="2"/>
        <v>0.01463700234</v>
      </c>
      <c r="F18" s="4">
        <v>174.6</v>
      </c>
      <c r="G18" s="25">
        <f t="shared" si="3"/>
        <v>0.01393728223</v>
      </c>
      <c r="H18" s="4">
        <v>163.0</v>
      </c>
      <c r="I18" s="25">
        <f t="shared" si="4"/>
        <v>0.0024600246</v>
      </c>
    </row>
    <row r="19" ht="14.25" customHeight="1">
      <c r="A19" s="19">
        <v>44713.0</v>
      </c>
      <c r="B19" s="4">
        <v>200.9</v>
      </c>
      <c r="C19" s="25">
        <f t="shared" si="1"/>
        <v>-0.007411067194</v>
      </c>
      <c r="D19" s="4">
        <v>174.9</v>
      </c>
      <c r="E19" s="25">
        <f t="shared" si="2"/>
        <v>0.00923254472</v>
      </c>
      <c r="F19" s="4">
        <v>176.0</v>
      </c>
      <c r="G19" s="25">
        <f t="shared" si="3"/>
        <v>0.008018327606</v>
      </c>
      <c r="H19" s="4">
        <v>161.1</v>
      </c>
      <c r="I19" s="25">
        <f t="shared" si="4"/>
        <v>-0.01165644172</v>
      </c>
    </row>
    <row r="20" ht="14.25" customHeight="1">
      <c r="A20" s="19">
        <v>44743.0</v>
      </c>
      <c r="B20" s="4">
        <v>195.8</v>
      </c>
      <c r="C20" s="25">
        <f t="shared" si="1"/>
        <v>-0.02538576406</v>
      </c>
      <c r="D20" s="4">
        <v>175.0</v>
      </c>
      <c r="E20" s="25">
        <f t="shared" si="2"/>
        <v>0.0005717552887</v>
      </c>
      <c r="F20" s="4">
        <v>179.6</v>
      </c>
      <c r="G20" s="25">
        <f t="shared" si="3"/>
        <v>0.02045454545</v>
      </c>
      <c r="H20" s="4">
        <v>161.6</v>
      </c>
      <c r="I20" s="25">
        <f t="shared" si="4"/>
        <v>0.003103662322</v>
      </c>
    </row>
    <row r="21" ht="14.25" customHeight="1">
      <c r="A21" s="19">
        <v>44774.0</v>
      </c>
      <c r="B21" s="4">
        <v>192.4</v>
      </c>
      <c r="C21" s="25">
        <f t="shared" si="1"/>
        <v>-0.01736465781</v>
      </c>
      <c r="D21" s="4">
        <v>176.3</v>
      </c>
      <c r="E21" s="25">
        <f t="shared" si="2"/>
        <v>0.007428571429</v>
      </c>
      <c r="F21" s="4">
        <v>178.8</v>
      </c>
      <c r="G21" s="25">
        <f t="shared" si="3"/>
        <v>-0.004454342984</v>
      </c>
      <c r="H21" s="4">
        <v>161.9</v>
      </c>
      <c r="I21" s="25">
        <f t="shared" si="4"/>
        <v>0.001856435644</v>
      </c>
    </row>
    <row r="22" ht="14.25" customHeight="1">
      <c r="A22" s="19">
        <v>44805.0</v>
      </c>
      <c r="B22" s="4">
        <v>188.7</v>
      </c>
      <c r="C22" s="25">
        <f t="shared" si="1"/>
        <v>-0.01923076923</v>
      </c>
      <c r="D22" s="4">
        <v>177.8</v>
      </c>
      <c r="E22" s="25">
        <f t="shared" si="2"/>
        <v>0.008508224617</v>
      </c>
      <c r="F22" s="4">
        <v>179.5</v>
      </c>
      <c r="G22" s="25">
        <f t="shared" si="3"/>
        <v>0.003914988814</v>
      </c>
      <c r="H22" s="4">
        <v>162.3</v>
      </c>
      <c r="I22" s="25">
        <f t="shared" si="4"/>
        <v>0.002470660902</v>
      </c>
    </row>
    <row r="23" ht="14.25" customHeight="1">
      <c r="A23" s="19">
        <v>44835.0</v>
      </c>
      <c r="B23" s="4">
        <v>186.5</v>
      </c>
      <c r="C23" s="25">
        <f t="shared" si="1"/>
        <v>-0.01165871754</v>
      </c>
      <c r="D23" s="4">
        <v>179.6</v>
      </c>
      <c r="E23" s="25">
        <f t="shared" si="2"/>
        <v>0.01012373453</v>
      </c>
      <c r="F23" s="4">
        <v>180.5</v>
      </c>
      <c r="G23" s="25">
        <f t="shared" si="3"/>
        <v>0.005571030641</v>
      </c>
      <c r="H23" s="4">
        <v>162.9</v>
      </c>
      <c r="I23" s="25">
        <f t="shared" si="4"/>
        <v>0.003696857671</v>
      </c>
    </row>
    <row r="24" ht="14.25" customHeight="1">
      <c r="A24" s="19">
        <v>44866.0</v>
      </c>
      <c r="B24" s="4">
        <v>188.9</v>
      </c>
      <c r="C24" s="25">
        <f t="shared" si="1"/>
        <v>0.01286863271</v>
      </c>
      <c r="D24" s="4">
        <v>178.3</v>
      </c>
      <c r="E24" s="25">
        <f t="shared" si="2"/>
        <v>-0.00723830735</v>
      </c>
      <c r="F24" s="4">
        <v>181.3</v>
      </c>
      <c r="G24" s="25">
        <f t="shared" si="3"/>
        <v>0.004432132964</v>
      </c>
      <c r="H24" s="4">
        <v>163.0</v>
      </c>
      <c r="I24" s="25">
        <f t="shared" si="4"/>
        <v>0.0006138735421</v>
      </c>
    </row>
    <row r="25" ht="14.25" customHeight="1">
      <c r="A25" s="19">
        <v>44896.0</v>
      </c>
      <c r="B25" s="4">
        <v>188.5</v>
      </c>
      <c r="C25" s="25">
        <f t="shared" si="1"/>
        <v>-0.002117522499</v>
      </c>
      <c r="D25" s="4">
        <v>175.9</v>
      </c>
      <c r="E25" s="25">
        <f t="shared" si="2"/>
        <v>-0.0134604599</v>
      </c>
      <c r="F25" s="4">
        <v>182.0</v>
      </c>
      <c r="G25" s="25">
        <f t="shared" si="3"/>
        <v>0.003861003861</v>
      </c>
      <c r="H25" s="4">
        <v>163.4</v>
      </c>
      <c r="I25" s="25">
        <f t="shared" si="4"/>
        <v>0.00245398773</v>
      </c>
    </row>
    <row r="26" ht="14.25" customHeight="1">
      <c r="A26" s="19">
        <v>44927.0</v>
      </c>
      <c r="B26" s="4">
        <v>187.2</v>
      </c>
      <c r="C26" s="25">
        <f t="shared" si="1"/>
        <v>-0.006896551724</v>
      </c>
      <c r="D26" s="4">
        <v>176.7</v>
      </c>
      <c r="E26" s="25">
        <f t="shared" si="2"/>
        <v>0.004548038658</v>
      </c>
      <c r="F26" s="4">
        <v>182.0</v>
      </c>
      <c r="G26" s="25">
        <f t="shared" si="3"/>
        <v>0</v>
      </c>
      <c r="H26" s="4">
        <v>163.6</v>
      </c>
      <c r="I26" s="25">
        <f t="shared" si="4"/>
        <v>0.001223990208</v>
      </c>
    </row>
    <row r="27" ht="14.25" customHeight="1">
      <c r="A27" s="19">
        <v>44958.0</v>
      </c>
      <c r="B27" s="4">
        <v>179.3</v>
      </c>
      <c r="C27" s="25">
        <f t="shared" si="1"/>
        <v>-0.0422008547</v>
      </c>
      <c r="D27" s="4">
        <v>177.0</v>
      </c>
      <c r="E27" s="25">
        <f t="shared" si="2"/>
        <v>0.001697792869</v>
      </c>
      <c r="F27" s="4">
        <v>182.1</v>
      </c>
      <c r="G27" s="25">
        <f t="shared" si="3"/>
        <v>0.0005494505495</v>
      </c>
      <c r="H27" s="4">
        <v>164.2</v>
      </c>
      <c r="I27" s="25">
        <f t="shared" si="4"/>
        <v>0.003667481663</v>
      </c>
    </row>
    <row r="28" ht="14.25" customHeight="1">
      <c r="A28" s="19">
        <v>44986.0</v>
      </c>
      <c r="B28" s="4">
        <v>179.2</v>
      </c>
      <c r="C28" s="25">
        <f t="shared" si="1"/>
        <v>-0.0005577244841</v>
      </c>
      <c r="D28" s="4">
        <v>177.0</v>
      </c>
      <c r="E28" s="25">
        <f t="shared" si="2"/>
        <v>0</v>
      </c>
      <c r="F28" s="4">
        <v>181.9</v>
      </c>
      <c r="G28" s="25">
        <f t="shared" si="3"/>
        <v>-0.001098297639</v>
      </c>
      <c r="H28" s="4">
        <v>164.2</v>
      </c>
      <c r="I28" s="25">
        <f t="shared" si="4"/>
        <v>0</v>
      </c>
    </row>
    <row r="29" ht="14.25" customHeight="1">
      <c r="A29" s="19">
        <v>45017.0</v>
      </c>
      <c r="B29" s="4">
        <v>174.9</v>
      </c>
      <c r="C29" s="25">
        <f t="shared" si="1"/>
        <v>-0.02399553571</v>
      </c>
      <c r="D29" s="4">
        <v>177.9</v>
      </c>
      <c r="E29" s="25">
        <f t="shared" si="2"/>
        <v>0.005084745763</v>
      </c>
      <c r="F29" s="4">
        <v>181.7</v>
      </c>
      <c r="G29" s="25">
        <f t="shared" si="3"/>
        <v>-0.001099505223</v>
      </c>
      <c r="H29" s="4">
        <v>164.5</v>
      </c>
      <c r="I29" s="25">
        <f t="shared" si="4"/>
        <v>0.001827040195</v>
      </c>
    </row>
    <row r="30" ht="14.25" customHeight="1">
      <c r="A30" s="19">
        <v>45047.0</v>
      </c>
      <c r="B30" s="4">
        <v>170.0</v>
      </c>
      <c r="C30" s="25">
        <f t="shared" si="1"/>
        <v>-0.02801600915</v>
      </c>
      <c r="D30" s="4">
        <v>179.1</v>
      </c>
      <c r="E30" s="25">
        <f t="shared" si="2"/>
        <v>0.006745362563</v>
      </c>
      <c r="F30" s="4">
        <v>182.8</v>
      </c>
      <c r="G30" s="25">
        <f t="shared" si="3"/>
        <v>0.006053935058</v>
      </c>
      <c r="H30" s="4">
        <v>164.8</v>
      </c>
      <c r="I30" s="25">
        <f t="shared" si="4"/>
        <v>0.001823708207</v>
      </c>
    </row>
    <row r="31" ht="14.25" customHeight="1">
      <c r="C31" s="30"/>
      <c r="E31" s="30"/>
      <c r="G31" s="30"/>
      <c r="I31" s="30"/>
    </row>
    <row r="32" ht="14.25" customHeight="1">
      <c r="C32" s="30"/>
      <c r="E32" s="30"/>
      <c r="G32" s="30"/>
      <c r="I32" s="30"/>
    </row>
    <row r="33" ht="14.25" customHeight="1">
      <c r="C33" s="30"/>
      <c r="E33" s="30"/>
      <c r="G33" s="30"/>
      <c r="I33" s="30"/>
    </row>
    <row r="34" ht="14.25" customHeight="1">
      <c r="C34" s="30"/>
      <c r="E34" s="30"/>
      <c r="G34" s="30"/>
      <c r="I34" s="30"/>
    </row>
    <row r="35" ht="14.25" customHeight="1">
      <c r="C35" s="30"/>
      <c r="E35" s="30"/>
      <c r="G35" s="30"/>
      <c r="I35" s="30"/>
    </row>
    <row r="36" ht="14.25" customHeight="1">
      <c r="C36" s="30"/>
      <c r="E36" s="30"/>
      <c r="G36" s="30"/>
      <c r="I36" s="30"/>
    </row>
    <row r="37" ht="14.25" customHeight="1">
      <c r="C37" s="30"/>
      <c r="E37" s="30"/>
      <c r="G37" s="30"/>
      <c r="I37" s="30"/>
    </row>
    <row r="38" ht="14.25" customHeight="1">
      <c r="C38" s="30"/>
      <c r="E38" s="30"/>
      <c r="G38" s="30"/>
      <c r="I38" s="30"/>
    </row>
    <row r="39" ht="14.25" customHeight="1">
      <c r="C39" s="30"/>
      <c r="E39" s="30"/>
      <c r="G39" s="30"/>
      <c r="I39" s="30"/>
    </row>
    <row r="40" ht="14.25" customHeight="1">
      <c r="C40" s="30"/>
      <c r="E40" s="30"/>
      <c r="G40" s="30"/>
      <c r="I40" s="30"/>
    </row>
    <row r="41" ht="14.25" customHeight="1">
      <c r="C41" s="30"/>
      <c r="E41" s="30"/>
      <c r="G41" s="30"/>
      <c r="I41" s="30"/>
    </row>
    <row r="42" ht="14.25" customHeight="1">
      <c r="C42" s="30"/>
      <c r="E42" s="30"/>
      <c r="G42" s="30"/>
      <c r="I42" s="30"/>
    </row>
    <row r="43" ht="14.25" customHeight="1">
      <c r="C43" s="30"/>
      <c r="E43" s="30"/>
      <c r="G43" s="30"/>
      <c r="I43" s="30"/>
    </row>
    <row r="44" ht="14.25" customHeight="1">
      <c r="C44" s="30"/>
      <c r="E44" s="30"/>
      <c r="G44" s="30"/>
      <c r="I44" s="30"/>
    </row>
    <row r="45" ht="14.25" customHeight="1">
      <c r="C45" s="30"/>
      <c r="E45" s="30"/>
      <c r="G45" s="30"/>
      <c r="I45" s="30"/>
    </row>
    <row r="46" ht="14.25" customHeight="1">
      <c r="C46" s="30"/>
      <c r="E46" s="30"/>
      <c r="G46" s="30"/>
      <c r="I46" s="30"/>
    </row>
    <row r="47" ht="14.25" customHeight="1">
      <c r="C47" s="30"/>
      <c r="E47" s="30"/>
      <c r="G47" s="30"/>
      <c r="I47" s="30"/>
    </row>
    <row r="48" ht="14.25" customHeight="1">
      <c r="C48" s="30"/>
      <c r="E48" s="30"/>
      <c r="G48" s="30"/>
      <c r="I48" s="30"/>
    </row>
    <row r="49" ht="14.25" customHeight="1">
      <c r="C49" s="30"/>
      <c r="E49" s="30"/>
      <c r="G49" s="30"/>
      <c r="I49" s="30"/>
    </row>
    <row r="50" ht="14.25" customHeight="1">
      <c r="C50" s="30"/>
      <c r="E50" s="30"/>
      <c r="G50" s="30"/>
      <c r="I50" s="30"/>
    </row>
    <row r="51" ht="14.25" customHeight="1">
      <c r="C51" s="30"/>
      <c r="E51" s="30"/>
      <c r="G51" s="30"/>
      <c r="I51" s="30"/>
    </row>
    <row r="52" ht="14.25" customHeight="1">
      <c r="C52" s="30"/>
      <c r="E52" s="30"/>
      <c r="G52" s="30"/>
      <c r="I52" s="30"/>
    </row>
    <row r="53" ht="14.25" customHeight="1">
      <c r="C53" s="30"/>
      <c r="E53" s="30"/>
      <c r="G53" s="30"/>
      <c r="I53" s="30"/>
    </row>
    <row r="54" ht="14.25" customHeight="1">
      <c r="C54" s="30"/>
      <c r="E54" s="30"/>
      <c r="G54" s="30"/>
      <c r="I54" s="30"/>
    </row>
    <row r="55" ht="14.25" customHeight="1">
      <c r="C55" s="30"/>
      <c r="E55" s="30"/>
      <c r="G55" s="30"/>
      <c r="I55" s="30"/>
    </row>
    <row r="56" ht="14.25" customHeight="1">
      <c r="C56" s="30"/>
      <c r="E56" s="30"/>
      <c r="G56" s="30"/>
      <c r="I56" s="30"/>
    </row>
    <row r="57" ht="14.25" customHeight="1">
      <c r="C57" s="30"/>
      <c r="E57" s="30"/>
      <c r="G57" s="30"/>
      <c r="I57" s="30"/>
    </row>
    <row r="58" ht="14.25" customHeight="1">
      <c r="C58" s="30"/>
      <c r="E58" s="30"/>
      <c r="G58" s="30"/>
      <c r="I58" s="30"/>
    </row>
    <row r="59" ht="14.25" customHeight="1">
      <c r="C59" s="30"/>
      <c r="E59" s="30"/>
      <c r="G59" s="30"/>
      <c r="I59" s="30"/>
    </row>
    <row r="60" ht="14.25" customHeight="1">
      <c r="C60" s="30"/>
      <c r="E60" s="30"/>
      <c r="G60" s="30"/>
      <c r="I60" s="30"/>
    </row>
    <row r="61" ht="14.25" customHeight="1">
      <c r="C61" s="30"/>
      <c r="E61" s="30"/>
      <c r="G61" s="30"/>
      <c r="I61" s="30"/>
    </row>
    <row r="62" ht="14.25" customHeight="1">
      <c r="C62" s="30"/>
      <c r="E62" s="30"/>
      <c r="G62" s="30"/>
      <c r="I62" s="30"/>
    </row>
    <row r="63" ht="14.25" customHeight="1">
      <c r="C63" s="30"/>
      <c r="E63" s="30"/>
      <c r="G63" s="30"/>
      <c r="I63" s="30"/>
    </row>
    <row r="64" ht="14.25" customHeight="1">
      <c r="C64" s="30"/>
      <c r="E64" s="30"/>
      <c r="G64" s="30"/>
      <c r="I64" s="30"/>
    </row>
    <row r="65" ht="14.25" customHeight="1">
      <c r="C65" s="30"/>
      <c r="E65" s="30"/>
      <c r="G65" s="30"/>
      <c r="I65" s="30"/>
    </row>
    <row r="66" ht="14.25" customHeight="1">
      <c r="C66" s="30"/>
      <c r="E66" s="30"/>
      <c r="G66" s="30"/>
      <c r="I66" s="30"/>
    </row>
    <row r="67" ht="14.25" customHeight="1">
      <c r="C67" s="30"/>
      <c r="E67" s="30"/>
      <c r="G67" s="30"/>
      <c r="I67" s="30"/>
    </row>
    <row r="68" ht="14.25" customHeight="1">
      <c r="C68" s="30"/>
      <c r="E68" s="30"/>
      <c r="G68" s="30"/>
      <c r="I68" s="30"/>
    </row>
    <row r="69" ht="14.25" customHeight="1">
      <c r="C69" s="30"/>
      <c r="E69" s="30"/>
      <c r="G69" s="30"/>
      <c r="I69" s="30"/>
    </row>
    <row r="70" ht="14.25" customHeight="1">
      <c r="C70" s="30"/>
      <c r="E70" s="30"/>
      <c r="G70" s="30"/>
      <c r="I70" s="30"/>
    </row>
    <row r="71" ht="14.25" customHeight="1">
      <c r="C71" s="30"/>
      <c r="E71" s="30"/>
      <c r="G71" s="30"/>
      <c r="I71" s="30"/>
    </row>
    <row r="72" ht="14.25" customHeight="1">
      <c r="C72" s="30"/>
      <c r="E72" s="30"/>
      <c r="G72" s="30"/>
      <c r="I72" s="30"/>
    </row>
    <row r="73" ht="14.25" customHeight="1">
      <c r="C73" s="30"/>
      <c r="E73" s="30"/>
      <c r="G73" s="30"/>
      <c r="I73" s="30"/>
    </row>
    <row r="74" ht="14.25" customHeight="1">
      <c r="C74" s="30"/>
      <c r="E74" s="30"/>
      <c r="G74" s="30"/>
      <c r="I74" s="30"/>
    </row>
    <row r="75" ht="14.25" customHeight="1">
      <c r="C75" s="30"/>
      <c r="E75" s="30"/>
      <c r="G75" s="30"/>
      <c r="I75" s="30"/>
    </row>
    <row r="76" ht="14.25" customHeight="1">
      <c r="C76" s="30"/>
      <c r="E76" s="30"/>
      <c r="G76" s="30"/>
      <c r="I76" s="30"/>
    </row>
    <row r="77" ht="14.25" customHeight="1">
      <c r="C77" s="30"/>
      <c r="E77" s="30"/>
      <c r="G77" s="30"/>
      <c r="I77" s="30"/>
    </row>
    <row r="78" ht="14.25" customHeight="1">
      <c r="C78" s="30"/>
      <c r="E78" s="30"/>
      <c r="G78" s="30"/>
      <c r="I78" s="30"/>
    </row>
    <row r="79" ht="14.25" customHeight="1">
      <c r="C79" s="30"/>
      <c r="E79" s="30"/>
      <c r="G79" s="30"/>
      <c r="I79" s="30"/>
    </row>
    <row r="80" ht="14.25" customHeight="1">
      <c r="C80" s="30"/>
      <c r="E80" s="30"/>
      <c r="G80" s="30"/>
      <c r="I80" s="30"/>
    </row>
    <row r="81" ht="14.25" customHeight="1">
      <c r="C81" s="30"/>
      <c r="E81" s="30"/>
      <c r="G81" s="30"/>
      <c r="I81" s="30"/>
    </row>
    <row r="82" ht="14.25" customHeight="1">
      <c r="C82" s="30"/>
      <c r="E82" s="30"/>
      <c r="G82" s="30"/>
      <c r="I82" s="30"/>
    </row>
    <row r="83" ht="14.25" customHeight="1">
      <c r="C83" s="30"/>
      <c r="E83" s="30"/>
      <c r="G83" s="30"/>
      <c r="I83" s="30"/>
    </row>
    <row r="84" ht="14.25" customHeight="1">
      <c r="C84" s="30"/>
      <c r="E84" s="30"/>
      <c r="G84" s="30"/>
      <c r="I84" s="30"/>
    </row>
    <row r="85" ht="14.25" customHeight="1">
      <c r="C85" s="30"/>
      <c r="E85" s="30"/>
      <c r="G85" s="30"/>
      <c r="I85" s="30"/>
    </row>
    <row r="86" ht="14.25" customHeight="1">
      <c r="C86" s="30"/>
      <c r="E86" s="30"/>
      <c r="G86" s="30"/>
      <c r="I86" s="30"/>
    </row>
    <row r="87" ht="14.25" customHeight="1">
      <c r="C87" s="30"/>
      <c r="E87" s="30"/>
      <c r="G87" s="30"/>
      <c r="I87" s="30"/>
    </row>
    <row r="88" ht="14.25" customHeight="1">
      <c r="C88" s="30"/>
      <c r="E88" s="30"/>
      <c r="G88" s="30"/>
      <c r="I88" s="30"/>
    </row>
    <row r="89" ht="14.25" customHeight="1">
      <c r="C89" s="30"/>
      <c r="E89" s="30"/>
      <c r="G89" s="30"/>
      <c r="I89" s="30"/>
    </row>
    <row r="90" ht="14.25" customHeight="1">
      <c r="C90" s="30"/>
      <c r="E90" s="30"/>
      <c r="G90" s="30"/>
      <c r="I90" s="30"/>
    </row>
    <row r="91" ht="14.25" customHeight="1">
      <c r="C91" s="30"/>
      <c r="E91" s="30"/>
      <c r="G91" s="30"/>
      <c r="I91" s="30"/>
    </row>
    <row r="92" ht="14.25" customHeight="1">
      <c r="C92" s="30"/>
      <c r="E92" s="30"/>
      <c r="G92" s="30"/>
      <c r="I92" s="30"/>
    </row>
    <row r="93" ht="14.25" customHeight="1">
      <c r="C93" s="30"/>
      <c r="E93" s="30"/>
      <c r="G93" s="30"/>
      <c r="I93" s="30"/>
    </row>
    <row r="94" ht="14.25" customHeight="1">
      <c r="C94" s="30"/>
      <c r="E94" s="30"/>
      <c r="G94" s="30"/>
      <c r="I94" s="30"/>
    </row>
    <row r="95" ht="14.25" customHeight="1">
      <c r="C95" s="30"/>
      <c r="E95" s="30"/>
      <c r="G95" s="30"/>
      <c r="I95" s="30"/>
    </row>
    <row r="96" ht="14.25" customHeight="1">
      <c r="C96" s="30"/>
      <c r="E96" s="30"/>
      <c r="G96" s="30"/>
      <c r="I96" s="30"/>
    </row>
    <row r="97" ht="14.25" customHeight="1">
      <c r="C97" s="30"/>
      <c r="E97" s="30"/>
      <c r="G97" s="30"/>
      <c r="I97" s="30"/>
    </row>
    <row r="98" ht="14.25" customHeight="1">
      <c r="C98" s="30"/>
      <c r="E98" s="30"/>
      <c r="G98" s="30"/>
      <c r="I98" s="30"/>
    </row>
    <row r="99" ht="14.25" customHeight="1">
      <c r="C99" s="30"/>
      <c r="E99" s="30"/>
      <c r="G99" s="30"/>
      <c r="I99" s="30"/>
    </row>
    <row r="100" ht="14.25" customHeight="1">
      <c r="C100" s="30"/>
      <c r="E100" s="30"/>
      <c r="G100" s="30"/>
      <c r="I100" s="30"/>
    </row>
    <row r="101" ht="14.25" customHeight="1">
      <c r="C101" s="30"/>
      <c r="E101" s="30"/>
      <c r="G101" s="30"/>
      <c r="I101" s="30"/>
    </row>
    <row r="102" ht="14.25" customHeight="1">
      <c r="C102" s="30"/>
      <c r="E102" s="30"/>
      <c r="G102" s="30"/>
      <c r="I102" s="30"/>
    </row>
    <row r="103" ht="14.25" customHeight="1">
      <c r="C103" s="30"/>
      <c r="E103" s="30"/>
      <c r="G103" s="30"/>
      <c r="I103" s="30"/>
    </row>
    <row r="104" ht="14.25" customHeight="1">
      <c r="C104" s="30"/>
      <c r="E104" s="30"/>
      <c r="G104" s="30"/>
      <c r="I104" s="30"/>
    </row>
    <row r="105" ht="14.25" customHeight="1">
      <c r="C105" s="30"/>
      <c r="E105" s="30"/>
      <c r="G105" s="30"/>
      <c r="I105" s="30"/>
    </row>
    <row r="106" ht="14.25" customHeight="1">
      <c r="C106" s="30"/>
      <c r="E106" s="30"/>
      <c r="G106" s="30"/>
      <c r="I106" s="30"/>
    </row>
    <row r="107" ht="14.25" customHeight="1">
      <c r="C107" s="30"/>
      <c r="E107" s="30"/>
      <c r="G107" s="30"/>
      <c r="I107" s="30"/>
    </row>
    <row r="108" ht="14.25" customHeight="1">
      <c r="C108" s="30"/>
      <c r="E108" s="30"/>
      <c r="G108" s="30"/>
      <c r="I108" s="30"/>
    </row>
    <row r="109" ht="14.25" customHeight="1">
      <c r="C109" s="30"/>
      <c r="E109" s="30"/>
      <c r="G109" s="30"/>
      <c r="I109" s="30"/>
    </row>
    <row r="110" ht="14.25" customHeight="1">
      <c r="C110" s="30"/>
      <c r="E110" s="30"/>
      <c r="G110" s="30"/>
      <c r="I110" s="30"/>
    </row>
    <row r="111" ht="14.25" customHeight="1">
      <c r="C111" s="30"/>
      <c r="E111" s="30"/>
      <c r="G111" s="30"/>
      <c r="I111" s="30"/>
    </row>
    <row r="112" ht="14.25" customHeight="1">
      <c r="C112" s="30"/>
      <c r="E112" s="30"/>
      <c r="G112" s="30"/>
      <c r="I112" s="30"/>
    </row>
    <row r="113" ht="14.25" customHeight="1">
      <c r="C113" s="30"/>
      <c r="E113" s="30"/>
      <c r="G113" s="30"/>
      <c r="I113" s="30"/>
    </row>
    <row r="114" ht="14.25" customHeight="1">
      <c r="C114" s="30"/>
      <c r="E114" s="30"/>
      <c r="G114" s="30"/>
      <c r="I114" s="30"/>
    </row>
    <row r="115" ht="14.25" customHeight="1">
      <c r="C115" s="30"/>
      <c r="E115" s="30"/>
      <c r="G115" s="30"/>
      <c r="I115" s="30"/>
    </row>
    <row r="116" ht="14.25" customHeight="1">
      <c r="C116" s="30"/>
      <c r="E116" s="30"/>
      <c r="G116" s="30"/>
      <c r="I116" s="30"/>
    </row>
    <row r="117" ht="14.25" customHeight="1">
      <c r="C117" s="30"/>
      <c r="E117" s="30"/>
      <c r="G117" s="30"/>
      <c r="I117" s="30"/>
    </row>
    <row r="118" ht="14.25" customHeight="1">
      <c r="C118" s="30"/>
      <c r="E118" s="30"/>
      <c r="G118" s="30"/>
      <c r="I118" s="30"/>
    </row>
    <row r="119" ht="14.25" customHeight="1">
      <c r="C119" s="30"/>
      <c r="E119" s="30"/>
      <c r="G119" s="30"/>
      <c r="I119" s="30"/>
    </row>
    <row r="120" ht="14.25" customHeight="1">
      <c r="C120" s="30"/>
      <c r="E120" s="30"/>
      <c r="G120" s="30"/>
      <c r="I120" s="30"/>
    </row>
    <row r="121" ht="14.25" customHeight="1">
      <c r="C121" s="30"/>
      <c r="E121" s="30"/>
      <c r="G121" s="30"/>
      <c r="I121" s="30"/>
    </row>
    <row r="122" ht="14.25" customHeight="1">
      <c r="C122" s="30"/>
      <c r="E122" s="30"/>
      <c r="G122" s="30"/>
      <c r="I122" s="30"/>
    </row>
    <row r="123" ht="14.25" customHeight="1">
      <c r="C123" s="30"/>
      <c r="E123" s="30"/>
      <c r="G123" s="30"/>
      <c r="I123" s="30"/>
    </row>
    <row r="124" ht="14.25" customHeight="1">
      <c r="C124" s="30"/>
      <c r="E124" s="30"/>
      <c r="G124" s="30"/>
      <c r="I124" s="30"/>
    </row>
    <row r="125" ht="14.25" customHeight="1">
      <c r="C125" s="30"/>
      <c r="E125" s="30"/>
      <c r="G125" s="30"/>
      <c r="I125" s="30"/>
    </row>
    <row r="126" ht="14.25" customHeight="1">
      <c r="C126" s="30"/>
      <c r="E126" s="30"/>
      <c r="G126" s="30"/>
      <c r="I126" s="30"/>
    </row>
    <row r="127" ht="14.25" customHeight="1">
      <c r="C127" s="30"/>
      <c r="E127" s="30"/>
      <c r="G127" s="30"/>
      <c r="I127" s="30"/>
    </row>
    <row r="128" ht="14.25" customHeight="1">
      <c r="C128" s="30"/>
      <c r="E128" s="30"/>
      <c r="G128" s="30"/>
      <c r="I128" s="30"/>
    </row>
    <row r="129" ht="14.25" customHeight="1">
      <c r="C129" s="30"/>
      <c r="E129" s="30"/>
      <c r="G129" s="30"/>
      <c r="I129" s="30"/>
    </row>
    <row r="130" ht="14.25" customHeight="1">
      <c r="C130" s="30"/>
      <c r="E130" s="30"/>
      <c r="G130" s="30"/>
      <c r="I130" s="30"/>
    </row>
    <row r="131" ht="14.25" customHeight="1">
      <c r="C131" s="30"/>
      <c r="E131" s="30"/>
      <c r="G131" s="30"/>
      <c r="I131" s="30"/>
    </row>
    <row r="132" ht="14.25" customHeight="1">
      <c r="C132" s="30"/>
      <c r="E132" s="30"/>
      <c r="G132" s="30"/>
      <c r="I132" s="30"/>
    </row>
    <row r="133" ht="14.25" customHeight="1">
      <c r="C133" s="30"/>
      <c r="E133" s="30"/>
      <c r="G133" s="30"/>
      <c r="I133" s="30"/>
    </row>
    <row r="134" ht="14.25" customHeight="1">
      <c r="C134" s="30"/>
      <c r="E134" s="30"/>
      <c r="G134" s="30"/>
      <c r="I134" s="30"/>
    </row>
    <row r="135" ht="14.25" customHeight="1">
      <c r="C135" s="30"/>
      <c r="E135" s="30"/>
      <c r="G135" s="30"/>
      <c r="I135" s="30"/>
    </row>
    <row r="136" ht="14.25" customHeight="1">
      <c r="C136" s="30"/>
      <c r="E136" s="30"/>
      <c r="G136" s="30"/>
      <c r="I136" s="30"/>
    </row>
    <row r="137" ht="14.25" customHeight="1">
      <c r="C137" s="30"/>
      <c r="E137" s="30"/>
      <c r="G137" s="30"/>
      <c r="I137" s="30"/>
    </row>
    <row r="138" ht="14.25" customHeight="1">
      <c r="C138" s="30"/>
      <c r="E138" s="30"/>
      <c r="G138" s="30"/>
      <c r="I138" s="30"/>
    </row>
    <row r="139" ht="14.25" customHeight="1">
      <c r="C139" s="30"/>
      <c r="E139" s="30"/>
      <c r="G139" s="30"/>
      <c r="I139" s="30"/>
    </row>
    <row r="140" ht="14.25" customHeight="1">
      <c r="C140" s="30"/>
      <c r="E140" s="30"/>
      <c r="G140" s="30"/>
      <c r="I140" s="30"/>
    </row>
    <row r="141" ht="14.25" customHeight="1">
      <c r="C141" s="30"/>
      <c r="E141" s="30"/>
      <c r="G141" s="30"/>
      <c r="I141" s="30"/>
    </row>
    <row r="142" ht="14.25" customHeight="1">
      <c r="C142" s="30"/>
      <c r="E142" s="30"/>
      <c r="G142" s="30"/>
      <c r="I142" s="30"/>
    </row>
    <row r="143" ht="14.25" customHeight="1">
      <c r="C143" s="30"/>
      <c r="E143" s="30"/>
      <c r="G143" s="30"/>
      <c r="I143" s="30"/>
    </row>
    <row r="144" ht="14.25" customHeight="1">
      <c r="C144" s="30"/>
      <c r="E144" s="30"/>
      <c r="G144" s="30"/>
      <c r="I144" s="30"/>
    </row>
    <row r="145" ht="14.25" customHeight="1">
      <c r="C145" s="30"/>
      <c r="E145" s="30"/>
      <c r="G145" s="30"/>
      <c r="I145" s="30"/>
    </row>
    <row r="146" ht="14.25" customHeight="1">
      <c r="C146" s="30"/>
      <c r="E146" s="30"/>
      <c r="G146" s="30"/>
      <c r="I146" s="30"/>
    </row>
    <row r="147" ht="14.25" customHeight="1">
      <c r="C147" s="30"/>
      <c r="E147" s="30"/>
      <c r="G147" s="30"/>
      <c r="I147" s="30"/>
    </row>
    <row r="148" ht="14.25" customHeight="1">
      <c r="C148" s="30"/>
      <c r="E148" s="30"/>
      <c r="G148" s="30"/>
      <c r="I148" s="30"/>
    </row>
    <row r="149" ht="14.25" customHeight="1">
      <c r="C149" s="30"/>
      <c r="E149" s="30"/>
      <c r="G149" s="30"/>
      <c r="I149" s="30"/>
    </row>
    <row r="150" ht="14.25" customHeight="1">
      <c r="C150" s="30"/>
      <c r="E150" s="30"/>
      <c r="G150" s="30"/>
      <c r="I150" s="30"/>
    </row>
    <row r="151" ht="14.25" customHeight="1">
      <c r="C151" s="30"/>
      <c r="E151" s="30"/>
      <c r="G151" s="30"/>
      <c r="I151" s="30"/>
    </row>
    <row r="152" ht="14.25" customHeight="1">
      <c r="C152" s="30"/>
      <c r="E152" s="30"/>
      <c r="G152" s="30"/>
      <c r="I152" s="30"/>
    </row>
    <row r="153" ht="14.25" customHeight="1">
      <c r="C153" s="30"/>
      <c r="E153" s="30"/>
      <c r="G153" s="30"/>
      <c r="I153" s="30"/>
    </row>
    <row r="154" ht="14.25" customHeight="1">
      <c r="C154" s="30"/>
      <c r="E154" s="30"/>
      <c r="G154" s="30"/>
      <c r="I154" s="30"/>
    </row>
    <row r="155" ht="14.25" customHeight="1">
      <c r="C155" s="30"/>
      <c r="E155" s="30"/>
      <c r="G155" s="30"/>
      <c r="I155" s="30"/>
    </row>
    <row r="156" ht="14.25" customHeight="1">
      <c r="C156" s="30"/>
      <c r="E156" s="30"/>
      <c r="G156" s="30"/>
      <c r="I156" s="30"/>
    </row>
    <row r="157" ht="14.25" customHeight="1">
      <c r="C157" s="30"/>
      <c r="E157" s="30"/>
      <c r="G157" s="30"/>
      <c r="I157" s="30"/>
    </row>
    <row r="158" ht="14.25" customHeight="1">
      <c r="C158" s="30"/>
      <c r="E158" s="30"/>
      <c r="G158" s="30"/>
      <c r="I158" s="30"/>
    </row>
    <row r="159" ht="14.25" customHeight="1">
      <c r="C159" s="30"/>
      <c r="E159" s="30"/>
      <c r="G159" s="30"/>
      <c r="I159" s="30"/>
    </row>
    <row r="160" ht="14.25" customHeight="1">
      <c r="C160" s="30"/>
      <c r="E160" s="30"/>
      <c r="G160" s="30"/>
      <c r="I160" s="30"/>
    </row>
    <row r="161" ht="14.25" customHeight="1">
      <c r="C161" s="30"/>
      <c r="E161" s="30"/>
      <c r="G161" s="30"/>
      <c r="I161" s="30"/>
    </row>
    <row r="162" ht="14.25" customHeight="1">
      <c r="C162" s="30"/>
      <c r="E162" s="30"/>
      <c r="G162" s="30"/>
      <c r="I162" s="30"/>
    </row>
    <row r="163" ht="14.25" customHeight="1">
      <c r="C163" s="30"/>
      <c r="E163" s="30"/>
      <c r="G163" s="30"/>
      <c r="I163" s="30"/>
    </row>
    <row r="164" ht="14.25" customHeight="1">
      <c r="C164" s="30"/>
      <c r="E164" s="30"/>
      <c r="G164" s="30"/>
      <c r="I164" s="30"/>
    </row>
    <row r="165" ht="14.25" customHeight="1">
      <c r="C165" s="30"/>
      <c r="E165" s="30"/>
      <c r="G165" s="30"/>
      <c r="I165" s="30"/>
    </row>
    <row r="166" ht="14.25" customHeight="1">
      <c r="C166" s="30"/>
      <c r="E166" s="30"/>
      <c r="G166" s="30"/>
      <c r="I166" s="30"/>
    </row>
    <row r="167" ht="14.25" customHeight="1">
      <c r="C167" s="30"/>
      <c r="E167" s="30"/>
      <c r="G167" s="30"/>
      <c r="I167" s="30"/>
    </row>
    <row r="168" ht="14.25" customHeight="1">
      <c r="C168" s="30"/>
      <c r="E168" s="30"/>
      <c r="G168" s="30"/>
      <c r="I168" s="30"/>
    </row>
    <row r="169" ht="14.25" customHeight="1">
      <c r="C169" s="30"/>
      <c r="E169" s="30"/>
      <c r="G169" s="30"/>
      <c r="I169" s="30"/>
    </row>
    <row r="170" ht="14.25" customHeight="1">
      <c r="C170" s="30"/>
      <c r="E170" s="30"/>
      <c r="G170" s="30"/>
      <c r="I170" s="30"/>
    </row>
    <row r="171" ht="14.25" customHeight="1">
      <c r="C171" s="30"/>
      <c r="E171" s="30"/>
      <c r="G171" s="30"/>
      <c r="I171" s="30"/>
    </row>
    <row r="172" ht="14.25" customHeight="1">
      <c r="C172" s="30"/>
      <c r="E172" s="30"/>
      <c r="G172" s="30"/>
      <c r="I172" s="30"/>
    </row>
    <row r="173" ht="14.25" customHeight="1">
      <c r="C173" s="30"/>
      <c r="E173" s="30"/>
      <c r="G173" s="30"/>
      <c r="I173" s="30"/>
    </row>
    <row r="174" ht="14.25" customHeight="1">
      <c r="C174" s="30"/>
      <c r="E174" s="30"/>
      <c r="G174" s="30"/>
      <c r="I174" s="30"/>
    </row>
    <row r="175" ht="14.25" customHeight="1">
      <c r="C175" s="30"/>
      <c r="E175" s="30"/>
      <c r="G175" s="30"/>
      <c r="I175" s="30"/>
    </row>
    <row r="176" ht="14.25" customHeight="1">
      <c r="C176" s="30"/>
      <c r="E176" s="30"/>
      <c r="G176" s="30"/>
      <c r="I176" s="30"/>
    </row>
    <row r="177" ht="14.25" customHeight="1">
      <c r="C177" s="30"/>
      <c r="E177" s="30"/>
      <c r="G177" s="30"/>
      <c r="I177" s="30"/>
    </row>
    <row r="178" ht="14.25" customHeight="1">
      <c r="C178" s="30"/>
      <c r="E178" s="30"/>
      <c r="G178" s="30"/>
      <c r="I178" s="30"/>
    </row>
    <row r="179" ht="14.25" customHeight="1">
      <c r="C179" s="30"/>
      <c r="E179" s="30"/>
      <c r="G179" s="30"/>
      <c r="I179" s="30"/>
    </row>
    <row r="180" ht="14.25" customHeight="1">
      <c r="C180" s="30"/>
      <c r="E180" s="30"/>
      <c r="G180" s="30"/>
      <c r="I180" s="30"/>
    </row>
    <row r="181" ht="14.25" customHeight="1">
      <c r="C181" s="30"/>
      <c r="E181" s="30"/>
      <c r="G181" s="30"/>
      <c r="I181" s="30"/>
    </row>
    <row r="182" ht="14.25" customHeight="1">
      <c r="C182" s="30"/>
      <c r="E182" s="30"/>
      <c r="G182" s="30"/>
      <c r="I182" s="30"/>
    </row>
    <row r="183" ht="14.25" customHeight="1">
      <c r="C183" s="30"/>
      <c r="E183" s="30"/>
      <c r="G183" s="30"/>
      <c r="I183" s="30"/>
    </row>
    <row r="184" ht="14.25" customHeight="1">
      <c r="C184" s="30"/>
      <c r="E184" s="30"/>
      <c r="G184" s="30"/>
      <c r="I184" s="30"/>
    </row>
    <row r="185" ht="14.25" customHeight="1">
      <c r="C185" s="30"/>
      <c r="E185" s="30"/>
      <c r="G185" s="30"/>
      <c r="I185" s="30"/>
    </row>
    <row r="186" ht="14.25" customHeight="1">
      <c r="C186" s="30"/>
      <c r="E186" s="30"/>
      <c r="G186" s="30"/>
      <c r="I186" s="30"/>
    </row>
    <row r="187" ht="14.25" customHeight="1">
      <c r="C187" s="30"/>
      <c r="E187" s="30"/>
      <c r="G187" s="30"/>
      <c r="I187" s="30"/>
    </row>
    <row r="188" ht="14.25" customHeight="1">
      <c r="C188" s="30"/>
      <c r="E188" s="30"/>
      <c r="G188" s="30"/>
      <c r="I188" s="30"/>
    </row>
    <row r="189" ht="14.25" customHeight="1">
      <c r="C189" s="30"/>
      <c r="E189" s="30"/>
      <c r="G189" s="30"/>
      <c r="I189" s="30"/>
    </row>
    <row r="190" ht="14.25" customHeight="1">
      <c r="C190" s="30"/>
      <c r="E190" s="30"/>
      <c r="G190" s="30"/>
      <c r="I190" s="30"/>
    </row>
    <row r="191" ht="14.25" customHeight="1">
      <c r="C191" s="30"/>
      <c r="E191" s="30"/>
      <c r="G191" s="30"/>
      <c r="I191" s="30"/>
    </row>
    <row r="192" ht="14.25" customHeight="1">
      <c r="C192" s="30"/>
      <c r="E192" s="30"/>
      <c r="G192" s="30"/>
      <c r="I192" s="30"/>
    </row>
    <row r="193" ht="14.25" customHeight="1">
      <c r="C193" s="30"/>
      <c r="E193" s="30"/>
      <c r="G193" s="30"/>
      <c r="I193" s="30"/>
    </row>
    <row r="194" ht="14.25" customHeight="1">
      <c r="C194" s="30"/>
      <c r="E194" s="30"/>
      <c r="G194" s="30"/>
      <c r="I194" s="30"/>
    </row>
    <row r="195" ht="14.25" customHeight="1">
      <c r="C195" s="30"/>
      <c r="E195" s="30"/>
      <c r="G195" s="30"/>
      <c r="I195" s="30"/>
    </row>
    <row r="196" ht="14.25" customHeight="1">
      <c r="C196" s="30"/>
      <c r="E196" s="30"/>
      <c r="G196" s="30"/>
      <c r="I196" s="30"/>
    </row>
    <row r="197" ht="14.25" customHeight="1">
      <c r="C197" s="30"/>
      <c r="E197" s="30"/>
      <c r="G197" s="30"/>
      <c r="I197" s="30"/>
    </row>
    <row r="198" ht="14.25" customHeight="1">
      <c r="C198" s="30"/>
      <c r="E198" s="30"/>
      <c r="G198" s="30"/>
      <c r="I198" s="30"/>
    </row>
    <row r="199" ht="14.25" customHeight="1">
      <c r="C199" s="30"/>
      <c r="E199" s="30"/>
      <c r="G199" s="30"/>
      <c r="I199" s="30"/>
    </row>
    <row r="200" ht="14.25" customHeight="1">
      <c r="C200" s="30"/>
      <c r="E200" s="30"/>
      <c r="G200" s="30"/>
      <c r="I200" s="30"/>
    </row>
    <row r="201" ht="14.25" customHeight="1">
      <c r="C201" s="30"/>
      <c r="E201" s="30"/>
      <c r="G201" s="30"/>
      <c r="I201" s="30"/>
    </row>
    <row r="202" ht="14.25" customHeight="1">
      <c r="C202" s="30"/>
      <c r="E202" s="30"/>
      <c r="G202" s="30"/>
      <c r="I202" s="30"/>
    </row>
    <row r="203" ht="14.25" customHeight="1">
      <c r="C203" s="30"/>
      <c r="E203" s="30"/>
      <c r="G203" s="30"/>
      <c r="I203" s="30"/>
    </row>
    <row r="204" ht="14.25" customHeight="1">
      <c r="C204" s="30"/>
      <c r="E204" s="30"/>
      <c r="G204" s="30"/>
      <c r="I204" s="30"/>
    </row>
    <row r="205" ht="14.25" customHeight="1">
      <c r="C205" s="30"/>
      <c r="E205" s="30"/>
      <c r="G205" s="30"/>
      <c r="I205" s="30"/>
    </row>
    <row r="206" ht="14.25" customHeight="1">
      <c r="C206" s="30"/>
      <c r="E206" s="30"/>
      <c r="G206" s="30"/>
      <c r="I206" s="30"/>
    </row>
    <row r="207" ht="14.25" customHeight="1">
      <c r="C207" s="30"/>
      <c r="E207" s="30"/>
      <c r="G207" s="30"/>
      <c r="I207" s="30"/>
    </row>
    <row r="208" ht="14.25" customHeight="1">
      <c r="C208" s="30"/>
      <c r="E208" s="30"/>
      <c r="G208" s="30"/>
      <c r="I208" s="30"/>
    </row>
    <row r="209" ht="14.25" customHeight="1">
      <c r="C209" s="30"/>
      <c r="E209" s="30"/>
      <c r="G209" s="30"/>
      <c r="I209" s="30"/>
    </row>
    <row r="210" ht="14.25" customHeight="1">
      <c r="C210" s="30"/>
      <c r="E210" s="30"/>
      <c r="G210" s="30"/>
      <c r="I210" s="30"/>
    </row>
    <row r="211" ht="14.25" customHeight="1">
      <c r="C211" s="30"/>
      <c r="E211" s="30"/>
      <c r="G211" s="30"/>
      <c r="I211" s="30"/>
    </row>
    <row r="212" ht="14.25" customHeight="1">
      <c r="C212" s="30"/>
      <c r="E212" s="30"/>
      <c r="G212" s="30"/>
      <c r="I212" s="30"/>
    </row>
    <row r="213" ht="14.25" customHeight="1">
      <c r="C213" s="30"/>
      <c r="E213" s="30"/>
      <c r="G213" s="30"/>
      <c r="I213" s="30"/>
    </row>
    <row r="214" ht="14.25" customHeight="1">
      <c r="C214" s="30"/>
      <c r="E214" s="30"/>
      <c r="G214" s="30"/>
      <c r="I214" s="30"/>
    </row>
    <row r="215" ht="14.25" customHeight="1">
      <c r="C215" s="30"/>
      <c r="E215" s="30"/>
      <c r="G215" s="30"/>
      <c r="I215" s="30"/>
    </row>
    <row r="216" ht="14.25" customHeight="1">
      <c r="C216" s="30"/>
      <c r="E216" s="30"/>
      <c r="G216" s="30"/>
      <c r="I216" s="30"/>
    </row>
    <row r="217" ht="14.25" customHeight="1">
      <c r="C217" s="30"/>
      <c r="E217" s="30"/>
      <c r="G217" s="30"/>
      <c r="I217" s="30"/>
    </row>
    <row r="218" ht="14.25" customHeight="1">
      <c r="C218" s="30"/>
      <c r="E218" s="30"/>
      <c r="G218" s="30"/>
      <c r="I218" s="30"/>
    </row>
    <row r="219" ht="14.25" customHeight="1">
      <c r="C219" s="30"/>
      <c r="E219" s="30"/>
      <c r="G219" s="30"/>
      <c r="I219" s="30"/>
    </row>
    <row r="220" ht="14.25" customHeight="1">
      <c r="C220" s="30"/>
      <c r="E220" s="30"/>
      <c r="G220" s="30"/>
      <c r="I220" s="30"/>
    </row>
    <row r="221" ht="14.25" customHeight="1">
      <c r="C221" s="30"/>
      <c r="E221" s="30"/>
      <c r="G221" s="30"/>
      <c r="I221" s="30"/>
    </row>
    <row r="222" ht="14.25" customHeight="1">
      <c r="C222" s="30"/>
      <c r="E222" s="30"/>
      <c r="G222" s="30"/>
      <c r="I222" s="30"/>
    </row>
    <row r="223" ht="14.25" customHeight="1">
      <c r="C223" s="30"/>
      <c r="E223" s="30"/>
      <c r="G223" s="30"/>
      <c r="I223" s="30"/>
    </row>
    <row r="224" ht="14.25" customHeight="1">
      <c r="C224" s="30"/>
      <c r="E224" s="30"/>
      <c r="G224" s="30"/>
      <c r="I224" s="30"/>
    </row>
    <row r="225" ht="14.25" customHeight="1">
      <c r="C225" s="30"/>
      <c r="E225" s="30"/>
      <c r="G225" s="30"/>
      <c r="I225" s="30"/>
    </row>
    <row r="226" ht="14.25" customHeight="1">
      <c r="C226" s="30"/>
      <c r="E226" s="30"/>
      <c r="G226" s="30"/>
      <c r="I226" s="30"/>
    </row>
    <row r="227" ht="14.25" customHeight="1">
      <c r="C227" s="30"/>
      <c r="E227" s="30"/>
      <c r="G227" s="30"/>
      <c r="I227" s="30"/>
    </row>
    <row r="228" ht="14.25" customHeight="1">
      <c r="C228" s="30"/>
      <c r="E228" s="30"/>
      <c r="G228" s="30"/>
      <c r="I228" s="30"/>
    </row>
    <row r="229" ht="14.25" customHeight="1">
      <c r="C229" s="30"/>
      <c r="E229" s="30"/>
      <c r="G229" s="30"/>
      <c r="I229" s="30"/>
    </row>
    <row r="230" ht="14.25" customHeight="1">
      <c r="C230" s="30"/>
      <c r="E230" s="30"/>
      <c r="G230" s="30"/>
      <c r="I230" s="30"/>
    </row>
    <row r="231" ht="14.25" customHeight="1">
      <c r="C231" s="30"/>
      <c r="E231" s="30"/>
      <c r="G231" s="30"/>
      <c r="I231" s="30"/>
    </row>
    <row r="232" ht="14.25" customHeight="1">
      <c r="C232" s="30"/>
      <c r="E232" s="30"/>
      <c r="G232" s="30"/>
      <c r="I232" s="30"/>
    </row>
    <row r="233" ht="14.25" customHeight="1">
      <c r="C233" s="30"/>
      <c r="E233" s="30"/>
      <c r="G233" s="30"/>
      <c r="I233" s="30"/>
    </row>
    <row r="234" ht="14.25" customHeight="1">
      <c r="C234" s="30"/>
      <c r="E234" s="30"/>
      <c r="G234" s="30"/>
      <c r="I234" s="30"/>
    </row>
    <row r="235" ht="14.25" customHeight="1">
      <c r="C235" s="30"/>
      <c r="E235" s="30"/>
      <c r="G235" s="30"/>
      <c r="I235" s="30"/>
    </row>
    <row r="236" ht="14.25" customHeight="1">
      <c r="C236" s="30"/>
      <c r="E236" s="30"/>
      <c r="G236" s="30"/>
      <c r="I236" s="30"/>
    </row>
    <row r="237" ht="14.25" customHeight="1">
      <c r="C237" s="30"/>
      <c r="E237" s="30"/>
      <c r="G237" s="30"/>
      <c r="I237" s="30"/>
    </row>
    <row r="238" ht="14.25" customHeight="1">
      <c r="C238" s="30"/>
      <c r="E238" s="30"/>
      <c r="G238" s="30"/>
      <c r="I238" s="30"/>
    </row>
    <row r="239" ht="14.25" customHeight="1">
      <c r="C239" s="30"/>
      <c r="E239" s="30"/>
      <c r="G239" s="30"/>
      <c r="I239" s="30"/>
    </row>
    <row r="240" ht="14.25" customHeight="1">
      <c r="C240" s="30"/>
      <c r="E240" s="30"/>
      <c r="G240" s="30"/>
      <c r="I240" s="30"/>
    </row>
    <row r="241" ht="14.25" customHeight="1">
      <c r="C241" s="30"/>
      <c r="E241" s="30"/>
      <c r="G241" s="30"/>
      <c r="I241" s="30"/>
    </row>
    <row r="242" ht="14.25" customHeight="1">
      <c r="C242" s="30"/>
      <c r="E242" s="30"/>
      <c r="G242" s="30"/>
      <c r="I242" s="30"/>
    </row>
    <row r="243" ht="14.25" customHeight="1">
      <c r="C243" s="30"/>
      <c r="E243" s="30"/>
      <c r="G243" s="30"/>
      <c r="I243" s="30"/>
    </row>
    <row r="244" ht="14.25" customHeight="1">
      <c r="C244" s="30"/>
      <c r="E244" s="30"/>
      <c r="G244" s="30"/>
      <c r="I244" s="30"/>
    </row>
    <row r="245" ht="14.25" customHeight="1">
      <c r="C245" s="30"/>
      <c r="E245" s="30"/>
      <c r="G245" s="30"/>
      <c r="I245" s="30"/>
    </row>
    <row r="246" ht="14.25" customHeight="1">
      <c r="C246" s="30"/>
      <c r="E246" s="30"/>
      <c r="G246" s="30"/>
      <c r="I246" s="30"/>
    </row>
    <row r="247" ht="14.25" customHeight="1">
      <c r="C247" s="30"/>
      <c r="E247" s="30"/>
      <c r="G247" s="30"/>
      <c r="I247" s="30"/>
    </row>
    <row r="248" ht="14.25" customHeight="1">
      <c r="C248" s="30"/>
      <c r="E248" s="30"/>
      <c r="G248" s="30"/>
      <c r="I248" s="30"/>
    </row>
    <row r="249" ht="14.25" customHeight="1">
      <c r="C249" s="30"/>
      <c r="E249" s="30"/>
      <c r="G249" s="30"/>
      <c r="I249" s="30"/>
    </row>
    <row r="250" ht="14.25" customHeight="1">
      <c r="C250" s="30"/>
      <c r="E250" s="30"/>
      <c r="G250" s="30"/>
      <c r="I250" s="30"/>
    </row>
    <row r="251" ht="14.25" customHeight="1">
      <c r="C251" s="30"/>
      <c r="E251" s="30"/>
      <c r="G251" s="30"/>
      <c r="I251" s="30"/>
    </row>
    <row r="252" ht="14.25" customHeight="1">
      <c r="C252" s="30"/>
      <c r="E252" s="30"/>
      <c r="G252" s="30"/>
      <c r="I252" s="30"/>
    </row>
    <row r="253" ht="14.25" customHeight="1">
      <c r="C253" s="30"/>
      <c r="E253" s="30"/>
      <c r="G253" s="30"/>
      <c r="I253" s="30"/>
    </row>
    <row r="254" ht="14.25" customHeight="1">
      <c r="C254" s="30"/>
      <c r="E254" s="30"/>
      <c r="G254" s="30"/>
      <c r="I254" s="30"/>
    </row>
    <row r="255" ht="14.25" customHeight="1">
      <c r="C255" s="30"/>
      <c r="E255" s="30"/>
      <c r="G255" s="30"/>
      <c r="I255" s="30"/>
    </row>
    <row r="256" ht="14.25" customHeight="1">
      <c r="C256" s="30"/>
      <c r="E256" s="30"/>
      <c r="G256" s="30"/>
      <c r="I256" s="30"/>
    </row>
    <row r="257" ht="14.25" customHeight="1">
      <c r="C257" s="30"/>
      <c r="E257" s="30"/>
      <c r="G257" s="30"/>
      <c r="I257" s="30"/>
    </row>
    <row r="258" ht="14.25" customHeight="1">
      <c r="C258" s="30"/>
      <c r="E258" s="30"/>
      <c r="G258" s="30"/>
      <c r="I258" s="30"/>
    </row>
    <row r="259" ht="14.25" customHeight="1">
      <c r="C259" s="30"/>
      <c r="E259" s="30"/>
      <c r="G259" s="30"/>
      <c r="I259" s="30"/>
    </row>
    <row r="260" ht="14.25" customHeight="1">
      <c r="C260" s="30"/>
      <c r="E260" s="30"/>
      <c r="G260" s="30"/>
      <c r="I260" s="30"/>
    </row>
    <row r="261" ht="14.25" customHeight="1">
      <c r="C261" s="30"/>
      <c r="E261" s="30"/>
      <c r="G261" s="30"/>
      <c r="I261" s="30"/>
    </row>
    <row r="262" ht="14.25" customHeight="1">
      <c r="C262" s="30"/>
      <c r="E262" s="30"/>
      <c r="G262" s="30"/>
      <c r="I262" s="30"/>
    </row>
    <row r="263" ht="14.25" customHeight="1">
      <c r="C263" s="30"/>
      <c r="E263" s="30"/>
      <c r="G263" s="30"/>
      <c r="I263" s="30"/>
    </row>
    <row r="264" ht="14.25" customHeight="1">
      <c r="C264" s="30"/>
      <c r="E264" s="30"/>
      <c r="G264" s="30"/>
      <c r="I264" s="30"/>
    </row>
    <row r="265" ht="14.25" customHeight="1">
      <c r="C265" s="30"/>
      <c r="E265" s="30"/>
      <c r="G265" s="30"/>
      <c r="I265" s="30"/>
    </row>
    <row r="266" ht="14.25" customHeight="1">
      <c r="C266" s="30"/>
      <c r="E266" s="30"/>
      <c r="G266" s="30"/>
      <c r="I266" s="30"/>
    </row>
    <row r="267" ht="14.25" customHeight="1">
      <c r="C267" s="30"/>
      <c r="E267" s="30"/>
      <c r="G267" s="30"/>
      <c r="I267" s="30"/>
    </row>
    <row r="268" ht="14.25" customHeight="1">
      <c r="C268" s="30"/>
      <c r="E268" s="30"/>
      <c r="G268" s="30"/>
      <c r="I268" s="30"/>
    </row>
    <row r="269" ht="14.25" customHeight="1">
      <c r="C269" s="30"/>
      <c r="E269" s="30"/>
      <c r="G269" s="30"/>
      <c r="I269" s="30"/>
    </row>
    <row r="270" ht="14.25" customHeight="1">
      <c r="C270" s="30"/>
      <c r="E270" s="30"/>
      <c r="G270" s="30"/>
      <c r="I270" s="30"/>
    </row>
    <row r="271" ht="14.25" customHeight="1">
      <c r="C271" s="30"/>
      <c r="E271" s="30"/>
      <c r="G271" s="30"/>
      <c r="I271" s="30"/>
    </row>
    <row r="272" ht="14.25" customHeight="1">
      <c r="C272" s="30"/>
      <c r="E272" s="30"/>
      <c r="G272" s="30"/>
      <c r="I272" s="30"/>
    </row>
    <row r="273" ht="14.25" customHeight="1">
      <c r="C273" s="30"/>
      <c r="E273" s="30"/>
      <c r="G273" s="30"/>
      <c r="I273" s="30"/>
    </row>
    <row r="274" ht="14.25" customHeight="1">
      <c r="C274" s="30"/>
      <c r="E274" s="30"/>
      <c r="G274" s="30"/>
      <c r="I274" s="30"/>
    </row>
    <row r="275" ht="14.25" customHeight="1">
      <c r="C275" s="30"/>
      <c r="E275" s="30"/>
      <c r="G275" s="30"/>
      <c r="I275" s="30"/>
    </row>
    <row r="276" ht="14.25" customHeight="1">
      <c r="C276" s="30"/>
      <c r="E276" s="30"/>
      <c r="G276" s="30"/>
      <c r="I276" s="30"/>
    </row>
    <row r="277" ht="14.25" customHeight="1">
      <c r="C277" s="30"/>
      <c r="E277" s="30"/>
      <c r="G277" s="30"/>
      <c r="I277" s="30"/>
    </row>
    <row r="278" ht="14.25" customHeight="1">
      <c r="C278" s="30"/>
      <c r="E278" s="30"/>
      <c r="G278" s="30"/>
      <c r="I278" s="30"/>
    </row>
    <row r="279" ht="14.25" customHeight="1">
      <c r="C279" s="30"/>
      <c r="E279" s="30"/>
      <c r="G279" s="30"/>
      <c r="I279" s="30"/>
    </row>
    <row r="280" ht="14.25" customHeight="1">
      <c r="C280" s="30"/>
      <c r="E280" s="30"/>
      <c r="G280" s="30"/>
      <c r="I280" s="30"/>
    </row>
    <row r="281" ht="14.25" customHeight="1">
      <c r="C281" s="30"/>
      <c r="E281" s="30"/>
      <c r="G281" s="30"/>
      <c r="I281" s="30"/>
    </row>
    <row r="282" ht="14.25" customHeight="1">
      <c r="C282" s="30"/>
      <c r="E282" s="30"/>
      <c r="G282" s="30"/>
      <c r="I282" s="30"/>
    </row>
    <row r="283" ht="14.25" customHeight="1">
      <c r="C283" s="30"/>
      <c r="E283" s="30"/>
      <c r="G283" s="30"/>
      <c r="I283" s="30"/>
    </row>
    <row r="284" ht="14.25" customHeight="1">
      <c r="C284" s="30"/>
      <c r="E284" s="30"/>
      <c r="G284" s="30"/>
      <c r="I284" s="30"/>
    </row>
    <row r="285" ht="14.25" customHeight="1">
      <c r="C285" s="30"/>
      <c r="E285" s="30"/>
      <c r="G285" s="30"/>
      <c r="I285" s="30"/>
    </row>
    <row r="286" ht="14.25" customHeight="1">
      <c r="C286" s="30"/>
      <c r="E286" s="30"/>
      <c r="G286" s="30"/>
      <c r="I286" s="30"/>
    </row>
    <row r="287" ht="14.25" customHeight="1">
      <c r="C287" s="30"/>
      <c r="E287" s="30"/>
      <c r="G287" s="30"/>
      <c r="I287" s="30"/>
    </row>
    <row r="288" ht="14.25" customHeight="1">
      <c r="C288" s="30"/>
      <c r="E288" s="30"/>
      <c r="G288" s="30"/>
      <c r="I288" s="30"/>
    </row>
    <row r="289" ht="14.25" customHeight="1">
      <c r="C289" s="30"/>
      <c r="E289" s="30"/>
      <c r="G289" s="30"/>
      <c r="I289" s="30"/>
    </row>
    <row r="290" ht="14.25" customHeight="1">
      <c r="C290" s="30"/>
      <c r="E290" s="30"/>
      <c r="G290" s="30"/>
      <c r="I290" s="30"/>
    </row>
    <row r="291" ht="14.25" customHeight="1">
      <c r="C291" s="30"/>
      <c r="E291" s="30"/>
      <c r="G291" s="30"/>
      <c r="I291" s="30"/>
    </row>
    <row r="292" ht="14.25" customHeight="1">
      <c r="C292" s="30"/>
      <c r="E292" s="30"/>
      <c r="G292" s="30"/>
      <c r="I292" s="30"/>
    </row>
    <row r="293" ht="14.25" customHeight="1">
      <c r="C293" s="30"/>
      <c r="E293" s="30"/>
      <c r="G293" s="30"/>
      <c r="I293" s="30"/>
    </row>
    <row r="294" ht="14.25" customHeight="1">
      <c r="C294" s="30"/>
      <c r="E294" s="30"/>
      <c r="G294" s="30"/>
      <c r="I294" s="30"/>
    </row>
    <row r="295" ht="14.25" customHeight="1">
      <c r="C295" s="30"/>
      <c r="E295" s="30"/>
      <c r="G295" s="30"/>
      <c r="I295" s="30"/>
    </row>
    <row r="296" ht="14.25" customHeight="1">
      <c r="C296" s="30"/>
      <c r="E296" s="30"/>
      <c r="G296" s="30"/>
      <c r="I296" s="30"/>
    </row>
    <row r="297" ht="14.25" customHeight="1">
      <c r="C297" s="30"/>
      <c r="E297" s="30"/>
      <c r="G297" s="30"/>
      <c r="I297" s="30"/>
    </row>
    <row r="298" ht="14.25" customHeight="1">
      <c r="C298" s="30"/>
      <c r="E298" s="30"/>
      <c r="G298" s="30"/>
      <c r="I298" s="30"/>
    </row>
    <row r="299" ht="14.25" customHeight="1">
      <c r="C299" s="30"/>
      <c r="E299" s="30"/>
      <c r="G299" s="30"/>
      <c r="I299" s="30"/>
    </row>
    <row r="300" ht="14.25" customHeight="1">
      <c r="C300" s="30"/>
      <c r="E300" s="30"/>
      <c r="G300" s="30"/>
      <c r="I300" s="30"/>
    </row>
    <row r="301" ht="14.25" customHeight="1">
      <c r="C301" s="30"/>
      <c r="E301" s="30"/>
      <c r="G301" s="30"/>
      <c r="I301" s="30"/>
    </row>
    <row r="302" ht="14.25" customHeight="1">
      <c r="C302" s="30"/>
      <c r="E302" s="30"/>
      <c r="G302" s="30"/>
      <c r="I302" s="30"/>
    </row>
    <row r="303" ht="14.25" customHeight="1">
      <c r="C303" s="30"/>
      <c r="E303" s="30"/>
      <c r="G303" s="30"/>
      <c r="I303" s="30"/>
    </row>
    <row r="304" ht="14.25" customHeight="1">
      <c r="C304" s="30"/>
      <c r="E304" s="30"/>
      <c r="G304" s="30"/>
      <c r="I304" s="30"/>
    </row>
    <row r="305" ht="14.25" customHeight="1">
      <c r="C305" s="30"/>
      <c r="E305" s="30"/>
      <c r="G305" s="30"/>
      <c r="I305" s="30"/>
    </row>
    <row r="306" ht="14.25" customHeight="1">
      <c r="C306" s="30"/>
      <c r="E306" s="30"/>
      <c r="G306" s="30"/>
      <c r="I306" s="30"/>
    </row>
    <row r="307" ht="14.25" customHeight="1">
      <c r="C307" s="30"/>
      <c r="E307" s="30"/>
      <c r="G307" s="30"/>
      <c r="I307" s="30"/>
    </row>
    <row r="308" ht="14.25" customHeight="1">
      <c r="C308" s="30"/>
      <c r="E308" s="30"/>
      <c r="G308" s="30"/>
      <c r="I308" s="30"/>
    </row>
    <row r="309" ht="14.25" customHeight="1">
      <c r="C309" s="30"/>
      <c r="E309" s="30"/>
      <c r="G309" s="30"/>
      <c r="I309" s="30"/>
    </row>
    <row r="310" ht="14.25" customHeight="1">
      <c r="C310" s="30"/>
      <c r="E310" s="30"/>
      <c r="G310" s="30"/>
      <c r="I310" s="30"/>
    </row>
    <row r="311" ht="14.25" customHeight="1">
      <c r="C311" s="30"/>
      <c r="E311" s="30"/>
      <c r="G311" s="30"/>
      <c r="I311" s="30"/>
    </row>
    <row r="312" ht="14.25" customHeight="1">
      <c r="C312" s="30"/>
      <c r="E312" s="30"/>
      <c r="G312" s="30"/>
      <c r="I312" s="30"/>
    </row>
    <row r="313" ht="14.25" customHeight="1">
      <c r="C313" s="30"/>
      <c r="E313" s="30"/>
      <c r="G313" s="30"/>
      <c r="I313" s="30"/>
    </row>
    <row r="314" ht="14.25" customHeight="1">
      <c r="C314" s="30"/>
      <c r="E314" s="30"/>
      <c r="G314" s="30"/>
      <c r="I314" s="30"/>
    </row>
    <row r="315" ht="14.25" customHeight="1">
      <c r="C315" s="30"/>
      <c r="E315" s="30"/>
      <c r="G315" s="30"/>
      <c r="I315" s="30"/>
    </row>
    <row r="316" ht="14.25" customHeight="1">
      <c r="C316" s="30"/>
      <c r="E316" s="30"/>
      <c r="G316" s="30"/>
      <c r="I316" s="30"/>
    </row>
    <row r="317" ht="14.25" customHeight="1">
      <c r="C317" s="30"/>
      <c r="E317" s="30"/>
      <c r="G317" s="30"/>
      <c r="I317" s="30"/>
    </row>
    <row r="318" ht="14.25" customHeight="1">
      <c r="C318" s="30"/>
      <c r="E318" s="30"/>
      <c r="G318" s="30"/>
      <c r="I318" s="30"/>
    </row>
    <row r="319" ht="14.25" customHeight="1">
      <c r="C319" s="30"/>
      <c r="E319" s="30"/>
      <c r="G319" s="30"/>
      <c r="I319" s="30"/>
    </row>
    <row r="320" ht="14.25" customHeight="1">
      <c r="C320" s="30"/>
      <c r="E320" s="30"/>
      <c r="G320" s="30"/>
      <c r="I320" s="30"/>
    </row>
    <row r="321" ht="14.25" customHeight="1">
      <c r="C321" s="30"/>
      <c r="E321" s="30"/>
      <c r="G321" s="30"/>
      <c r="I321" s="30"/>
    </row>
    <row r="322" ht="14.25" customHeight="1">
      <c r="C322" s="30"/>
      <c r="E322" s="30"/>
      <c r="G322" s="30"/>
      <c r="I322" s="30"/>
    </row>
    <row r="323" ht="14.25" customHeight="1">
      <c r="C323" s="30"/>
      <c r="E323" s="30"/>
      <c r="G323" s="30"/>
      <c r="I323" s="30"/>
    </row>
    <row r="324" ht="14.25" customHeight="1">
      <c r="C324" s="30"/>
      <c r="E324" s="30"/>
      <c r="G324" s="30"/>
      <c r="I324" s="30"/>
    </row>
    <row r="325" ht="14.25" customHeight="1">
      <c r="C325" s="30"/>
      <c r="E325" s="30"/>
      <c r="G325" s="30"/>
      <c r="I325" s="30"/>
    </row>
    <row r="326" ht="14.25" customHeight="1">
      <c r="C326" s="30"/>
      <c r="E326" s="30"/>
      <c r="G326" s="30"/>
      <c r="I326" s="30"/>
    </row>
    <row r="327" ht="14.25" customHeight="1">
      <c r="C327" s="30"/>
      <c r="E327" s="30"/>
      <c r="G327" s="30"/>
      <c r="I327" s="30"/>
    </row>
    <row r="328" ht="14.25" customHeight="1">
      <c r="C328" s="30"/>
      <c r="E328" s="30"/>
      <c r="G328" s="30"/>
      <c r="I328" s="30"/>
    </row>
    <row r="329" ht="14.25" customHeight="1">
      <c r="C329" s="30"/>
      <c r="E329" s="30"/>
      <c r="G329" s="30"/>
      <c r="I329" s="30"/>
    </row>
    <row r="330" ht="14.25" customHeight="1">
      <c r="C330" s="30"/>
      <c r="E330" s="30"/>
      <c r="G330" s="30"/>
      <c r="I330" s="30"/>
    </row>
    <row r="331" ht="14.25" customHeight="1">
      <c r="C331" s="30"/>
      <c r="E331" s="30"/>
      <c r="G331" s="30"/>
      <c r="I331" s="30"/>
    </row>
    <row r="332" ht="14.25" customHeight="1">
      <c r="C332" s="30"/>
      <c r="E332" s="30"/>
      <c r="G332" s="30"/>
      <c r="I332" s="30"/>
    </row>
    <row r="333" ht="14.25" customHeight="1">
      <c r="C333" s="30"/>
      <c r="E333" s="30"/>
      <c r="G333" s="30"/>
      <c r="I333" s="30"/>
    </row>
    <row r="334" ht="14.25" customHeight="1">
      <c r="C334" s="30"/>
      <c r="E334" s="30"/>
      <c r="G334" s="30"/>
      <c r="I334" s="30"/>
    </row>
    <row r="335" ht="14.25" customHeight="1">
      <c r="C335" s="30"/>
      <c r="E335" s="30"/>
      <c r="G335" s="30"/>
      <c r="I335" s="30"/>
    </row>
    <row r="336" ht="14.25" customHeight="1">
      <c r="C336" s="30"/>
      <c r="E336" s="30"/>
      <c r="G336" s="30"/>
      <c r="I336" s="30"/>
    </row>
    <row r="337" ht="14.25" customHeight="1">
      <c r="C337" s="30"/>
      <c r="E337" s="30"/>
      <c r="G337" s="30"/>
      <c r="I337" s="30"/>
    </row>
    <row r="338" ht="14.25" customHeight="1">
      <c r="C338" s="30"/>
      <c r="E338" s="30"/>
      <c r="G338" s="30"/>
      <c r="I338" s="30"/>
    </row>
    <row r="339" ht="14.25" customHeight="1">
      <c r="C339" s="30"/>
      <c r="E339" s="30"/>
      <c r="G339" s="30"/>
      <c r="I339" s="30"/>
    </row>
    <row r="340" ht="14.25" customHeight="1">
      <c r="C340" s="30"/>
      <c r="E340" s="30"/>
      <c r="G340" s="30"/>
      <c r="I340" s="30"/>
    </row>
    <row r="341" ht="14.25" customHeight="1">
      <c r="C341" s="30"/>
      <c r="E341" s="30"/>
      <c r="G341" s="30"/>
      <c r="I341" s="30"/>
    </row>
    <row r="342" ht="14.25" customHeight="1">
      <c r="C342" s="30"/>
      <c r="E342" s="30"/>
      <c r="G342" s="30"/>
      <c r="I342" s="30"/>
    </row>
    <row r="343" ht="14.25" customHeight="1">
      <c r="C343" s="30"/>
      <c r="E343" s="30"/>
      <c r="G343" s="30"/>
      <c r="I343" s="30"/>
    </row>
    <row r="344" ht="14.25" customHeight="1">
      <c r="C344" s="30"/>
      <c r="E344" s="30"/>
      <c r="G344" s="30"/>
      <c r="I344" s="30"/>
    </row>
    <row r="345" ht="14.25" customHeight="1">
      <c r="C345" s="30"/>
      <c r="E345" s="30"/>
      <c r="G345" s="30"/>
      <c r="I345" s="30"/>
    </row>
    <row r="346" ht="14.25" customHeight="1">
      <c r="C346" s="30"/>
      <c r="E346" s="30"/>
      <c r="G346" s="30"/>
      <c r="I346" s="30"/>
    </row>
    <row r="347" ht="14.25" customHeight="1">
      <c r="C347" s="30"/>
      <c r="E347" s="30"/>
      <c r="G347" s="30"/>
      <c r="I347" s="30"/>
    </row>
    <row r="348" ht="14.25" customHeight="1">
      <c r="C348" s="30"/>
      <c r="E348" s="30"/>
      <c r="G348" s="30"/>
      <c r="I348" s="30"/>
    </row>
    <row r="349" ht="14.25" customHeight="1">
      <c r="C349" s="30"/>
      <c r="E349" s="30"/>
      <c r="G349" s="30"/>
      <c r="I349" s="30"/>
    </row>
    <row r="350" ht="14.25" customHeight="1">
      <c r="C350" s="30"/>
      <c r="E350" s="30"/>
      <c r="G350" s="30"/>
      <c r="I350" s="30"/>
    </row>
    <row r="351" ht="14.25" customHeight="1">
      <c r="C351" s="30"/>
      <c r="E351" s="30"/>
      <c r="G351" s="30"/>
      <c r="I351" s="30"/>
    </row>
    <row r="352" ht="14.25" customHeight="1">
      <c r="C352" s="30"/>
      <c r="E352" s="30"/>
      <c r="G352" s="30"/>
      <c r="I352" s="30"/>
    </row>
    <row r="353" ht="14.25" customHeight="1">
      <c r="C353" s="30"/>
      <c r="E353" s="30"/>
      <c r="G353" s="30"/>
      <c r="I353" s="30"/>
    </row>
    <row r="354" ht="14.25" customHeight="1">
      <c r="C354" s="30"/>
      <c r="E354" s="30"/>
      <c r="G354" s="30"/>
      <c r="I354" s="30"/>
    </row>
    <row r="355" ht="14.25" customHeight="1">
      <c r="C355" s="30"/>
      <c r="E355" s="30"/>
      <c r="G355" s="30"/>
      <c r="I355" s="30"/>
    </row>
    <row r="356" ht="14.25" customHeight="1">
      <c r="C356" s="30"/>
      <c r="E356" s="30"/>
      <c r="G356" s="30"/>
      <c r="I356" s="30"/>
    </row>
    <row r="357" ht="14.25" customHeight="1">
      <c r="C357" s="30"/>
      <c r="E357" s="30"/>
      <c r="G357" s="30"/>
      <c r="I357" s="30"/>
    </row>
    <row r="358" ht="14.25" customHeight="1">
      <c r="C358" s="30"/>
      <c r="E358" s="30"/>
      <c r="G358" s="30"/>
      <c r="I358" s="30"/>
    </row>
    <row r="359" ht="14.25" customHeight="1">
      <c r="C359" s="30"/>
      <c r="E359" s="30"/>
      <c r="G359" s="30"/>
      <c r="I359" s="30"/>
    </row>
    <row r="360" ht="14.25" customHeight="1">
      <c r="C360" s="30"/>
      <c r="E360" s="30"/>
      <c r="G360" s="30"/>
      <c r="I360" s="30"/>
    </row>
    <row r="361" ht="14.25" customHeight="1">
      <c r="C361" s="30"/>
      <c r="E361" s="30"/>
      <c r="G361" s="30"/>
      <c r="I361" s="30"/>
    </row>
    <row r="362" ht="14.25" customHeight="1">
      <c r="C362" s="30"/>
      <c r="E362" s="30"/>
      <c r="G362" s="30"/>
      <c r="I362" s="30"/>
    </row>
    <row r="363" ht="14.25" customHeight="1">
      <c r="C363" s="30"/>
      <c r="E363" s="30"/>
      <c r="G363" s="30"/>
      <c r="I363" s="30"/>
    </row>
    <row r="364" ht="14.25" customHeight="1">
      <c r="C364" s="30"/>
      <c r="E364" s="30"/>
      <c r="G364" s="30"/>
      <c r="I364" s="30"/>
    </row>
    <row r="365" ht="14.25" customHeight="1">
      <c r="C365" s="30"/>
      <c r="E365" s="30"/>
      <c r="G365" s="30"/>
      <c r="I365" s="30"/>
    </row>
    <row r="366" ht="14.25" customHeight="1">
      <c r="C366" s="30"/>
      <c r="E366" s="30"/>
      <c r="G366" s="30"/>
      <c r="I366" s="30"/>
    </row>
    <row r="367" ht="14.25" customHeight="1">
      <c r="C367" s="30"/>
      <c r="E367" s="30"/>
      <c r="G367" s="30"/>
      <c r="I367" s="30"/>
    </row>
    <row r="368" ht="14.25" customHeight="1">
      <c r="C368" s="30"/>
      <c r="E368" s="30"/>
      <c r="G368" s="30"/>
      <c r="I368" s="30"/>
    </row>
    <row r="369" ht="14.25" customHeight="1">
      <c r="C369" s="30"/>
      <c r="E369" s="30"/>
      <c r="G369" s="30"/>
      <c r="I369" s="30"/>
    </row>
    <row r="370" ht="14.25" customHeight="1">
      <c r="C370" s="30"/>
      <c r="E370" s="30"/>
      <c r="G370" s="30"/>
      <c r="I370" s="30"/>
    </row>
    <row r="371" ht="14.25" customHeight="1">
      <c r="C371" s="30"/>
      <c r="E371" s="30"/>
      <c r="G371" s="30"/>
      <c r="I371" s="30"/>
    </row>
    <row r="372" ht="14.25" customHeight="1">
      <c r="C372" s="30"/>
      <c r="E372" s="30"/>
      <c r="G372" s="30"/>
      <c r="I372" s="30"/>
    </row>
    <row r="373" ht="14.25" customHeight="1">
      <c r="C373" s="30"/>
      <c r="E373" s="30"/>
      <c r="G373" s="30"/>
      <c r="I373" s="30"/>
    </row>
    <row r="374" ht="14.25" customHeight="1">
      <c r="C374" s="30"/>
      <c r="E374" s="30"/>
      <c r="G374" s="30"/>
      <c r="I374" s="30"/>
    </row>
    <row r="375" ht="14.25" customHeight="1">
      <c r="C375" s="30"/>
      <c r="E375" s="30"/>
      <c r="G375" s="30"/>
      <c r="I375" s="30"/>
    </row>
    <row r="376" ht="14.25" customHeight="1">
      <c r="C376" s="30"/>
      <c r="E376" s="30"/>
      <c r="G376" s="30"/>
      <c r="I376" s="30"/>
    </row>
    <row r="377" ht="14.25" customHeight="1">
      <c r="C377" s="30"/>
      <c r="E377" s="30"/>
      <c r="G377" s="30"/>
      <c r="I377" s="30"/>
    </row>
    <row r="378" ht="14.25" customHeight="1">
      <c r="C378" s="30"/>
      <c r="E378" s="30"/>
      <c r="G378" s="30"/>
      <c r="I378" s="30"/>
    </row>
    <row r="379" ht="14.25" customHeight="1">
      <c r="C379" s="30"/>
      <c r="E379" s="30"/>
      <c r="G379" s="30"/>
      <c r="I379" s="30"/>
    </row>
    <row r="380" ht="14.25" customHeight="1">
      <c r="C380" s="30"/>
      <c r="E380" s="30"/>
      <c r="G380" s="30"/>
      <c r="I380" s="30"/>
    </row>
    <row r="381" ht="14.25" customHeight="1">
      <c r="C381" s="30"/>
      <c r="E381" s="30"/>
      <c r="G381" s="30"/>
      <c r="I381" s="30"/>
    </row>
    <row r="382" ht="14.25" customHeight="1">
      <c r="C382" s="30"/>
      <c r="E382" s="30"/>
      <c r="G382" s="30"/>
      <c r="I382" s="30"/>
    </row>
    <row r="383" ht="14.25" customHeight="1">
      <c r="C383" s="30"/>
      <c r="E383" s="30"/>
      <c r="G383" s="30"/>
      <c r="I383" s="30"/>
    </row>
    <row r="384" ht="14.25" customHeight="1">
      <c r="C384" s="30"/>
      <c r="E384" s="30"/>
      <c r="G384" s="30"/>
      <c r="I384" s="30"/>
    </row>
    <row r="385" ht="14.25" customHeight="1">
      <c r="C385" s="30"/>
      <c r="E385" s="30"/>
      <c r="G385" s="30"/>
      <c r="I385" s="30"/>
    </row>
    <row r="386" ht="14.25" customHeight="1">
      <c r="C386" s="30"/>
      <c r="E386" s="30"/>
      <c r="G386" s="30"/>
      <c r="I386" s="30"/>
    </row>
    <row r="387" ht="14.25" customHeight="1">
      <c r="C387" s="30"/>
      <c r="E387" s="30"/>
      <c r="G387" s="30"/>
      <c r="I387" s="30"/>
    </row>
    <row r="388" ht="14.25" customHeight="1">
      <c r="C388" s="30"/>
      <c r="E388" s="30"/>
      <c r="G388" s="30"/>
      <c r="I388" s="30"/>
    </row>
    <row r="389" ht="14.25" customHeight="1">
      <c r="C389" s="30"/>
      <c r="E389" s="30"/>
      <c r="G389" s="30"/>
      <c r="I389" s="30"/>
    </row>
    <row r="390" ht="14.25" customHeight="1">
      <c r="C390" s="30"/>
      <c r="E390" s="30"/>
      <c r="G390" s="30"/>
      <c r="I390" s="30"/>
    </row>
    <row r="391" ht="14.25" customHeight="1">
      <c r="C391" s="30"/>
      <c r="E391" s="30"/>
      <c r="G391" s="30"/>
      <c r="I391" s="30"/>
    </row>
    <row r="392" ht="14.25" customHeight="1">
      <c r="C392" s="30"/>
      <c r="E392" s="30"/>
      <c r="G392" s="30"/>
      <c r="I392" s="30"/>
    </row>
    <row r="393" ht="14.25" customHeight="1">
      <c r="C393" s="30"/>
      <c r="E393" s="30"/>
      <c r="G393" s="30"/>
      <c r="I393" s="30"/>
    </row>
    <row r="394" ht="14.25" customHeight="1">
      <c r="C394" s="30"/>
      <c r="E394" s="30"/>
      <c r="G394" s="30"/>
      <c r="I394" s="30"/>
    </row>
    <row r="395" ht="14.25" customHeight="1">
      <c r="C395" s="30"/>
      <c r="E395" s="30"/>
      <c r="G395" s="30"/>
      <c r="I395" s="30"/>
    </row>
    <row r="396" ht="14.25" customHeight="1">
      <c r="C396" s="30"/>
      <c r="E396" s="30"/>
      <c r="G396" s="30"/>
      <c r="I396" s="30"/>
    </row>
    <row r="397" ht="14.25" customHeight="1">
      <c r="C397" s="30"/>
      <c r="E397" s="30"/>
      <c r="G397" s="30"/>
      <c r="I397" s="30"/>
    </row>
    <row r="398" ht="14.25" customHeight="1">
      <c r="C398" s="30"/>
      <c r="E398" s="30"/>
      <c r="G398" s="30"/>
      <c r="I398" s="30"/>
    </row>
    <row r="399" ht="14.25" customHeight="1">
      <c r="C399" s="30"/>
      <c r="E399" s="30"/>
      <c r="G399" s="30"/>
      <c r="I399" s="30"/>
    </row>
    <row r="400" ht="14.25" customHeight="1">
      <c r="C400" s="30"/>
      <c r="E400" s="30"/>
      <c r="G400" s="30"/>
      <c r="I400" s="30"/>
    </row>
    <row r="401" ht="14.25" customHeight="1">
      <c r="C401" s="30"/>
      <c r="E401" s="30"/>
      <c r="G401" s="30"/>
      <c r="I401" s="30"/>
    </row>
    <row r="402" ht="14.25" customHeight="1">
      <c r="C402" s="30"/>
      <c r="E402" s="30"/>
      <c r="G402" s="30"/>
      <c r="I402" s="30"/>
    </row>
    <row r="403" ht="14.25" customHeight="1">
      <c r="C403" s="30"/>
      <c r="E403" s="30"/>
      <c r="G403" s="30"/>
      <c r="I403" s="30"/>
    </row>
    <row r="404" ht="14.25" customHeight="1">
      <c r="C404" s="30"/>
      <c r="E404" s="30"/>
      <c r="G404" s="30"/>
      <c r="I404" s="30"/>
    </row>
    <row r="405" ht="14.25" customHeight="1">
      <c r="C405" s="30"/>
      <c r="E405" s="30"/>
      <c r="G405" s="30"/>
      <c r="I405" s="30"/>
    </row>
    <row r="406" ht="14.25" customHeight="1">
      <c r="C406" s="30"/>
      <c r="E406" s="30"/>
      <c r="G406" s="30"/>
      <c r="I406" s="30"/>
    </row>
    <row r="407" ht="14.25" customHeight="1">
      <c r="C407" s="30"/>
      <c r="E407" s="30"/>
      <c r="G407" s="30"/>
      <c r="I407" s="30"/>
    </row>
    <row r="408" ht="14.25" customHeight="1">
      <c r="C408" s="30"/>
      <c r="E408" s="30"/>
      <c r="G408" s="30"/>
      <c r="I408" s="30"/>
    </row>
    <row r="409" ht="14.25" customHeight="1">
      <c r="C409" s="30"/>
      <c r="E409" s="30"/>
      <c r="G409" s="30"/>
      <c r="I409" s="30"/>
    </row>
    <row r="410" ht="14.25" customHeight="1">
      <c r="C410" s="30"/>
      <c r="E410" s="30"/>
      <c r="G410" s="30"/>
      <c r="I410" s="30"/>
    </row>
    <row r="411" ht="14.25" customHeight="1">
      <c r="C411" s="30"/>
      <c r="E411" s="30"/>
      <c r="G411" s="30"/>
      <c r="I411" s="30"/>
    </row>
    <row r="412" ht="14.25" customHeight="1">
      <c r="C412" s="30"/>
      <c r="E412" s="30"/>
      <c r="G412" s="30"/>
      <c r="I412" s="30"/>
    </row>
    <row r="413" ht="14.25" customHeight="1">
      <c r="C413" s="30"/>
      <c r="E413" s="30"/>
      <c r="G413" s="30"/>
      <c r="I413" s="30"/>
    </row>
    <row r="414" ht="14.25" customHeight="1">
      <c r="C414" s="30"/>
      <c r="E414" s="30"/>
      <c r="G414" s="30"/>
      <c r="I414" s="30"/>
    </row>
    <row r="415" ht="14.25" customHeight="1">
      <c r="C415" s="30"/>
      <c r="E415" s="30"/>
      <c r="G415" s="30"/>
      <c r="I415" s="30"/>
    </row>
    <row r="416" ht="14.25" customHeight="1">
      <c r="C416" s="30"/>
      <c r="E416" s="30"/>
      <c r="G416" s="30"/>
      <c r="I416" s="30"/>
    </row>
    <row r="417" ht="14.25" customHeight="1">
      <c r="C417" s="30"/>
      <c r="E417" s="30"/>
      <c r="G417" s="30"/>
      <c r="I417" s="30"/>
    </row>
    <row r="418" ht="14.25" customHeight="1">
      <c r="C418" s="30"/>
      <c r="E418" s="30"/>
      <c r="G418" s="30"/>
      <c r="I418" s="30"/>
    </row>
    <row r="419" ht="14.25" customHeight="1">
      <c r="C419" s="30"/>
      <c r="E419" s="30"/>
      <c r="G419" s="30"/>
      <c r="I419" s="30"/>
    </row>
    <row r="420" ht="14.25" customHeight="1">
      <c r="C420" s="30"/>
      <c r="E420" s="30"/>
      <c r="G420" s="30"/>
      <c r="I420" s="30"/>
    </row>
    <row r="421" ht="14.25" customHeight="1">
      <c r="C421" s="30"/>
      <c r="E421" s="30"/>
      <c r="G421" s="30"/>
      <c r="I421" s="30"/>
    </row>
    <row r="422" ht="14.25" customHeight="1">
      <c r="C422" s="30"/>
      <c r="E422" s="30"/>
      <c r="G422" s="30"/>
      <c r="I422" s="30"/>
    </row>
    <row r="423" ht="14.25" customHeight="1">
      <c r="C423" s="30"/>
      <c r="E423" s="30"/>
      <c r="G423" s="30"/>
      <c r="I423" s="30"/>
    </row>
    <row r="424" ht="14.25" customHeight="1">
      <c r="C424" s="30"/>
      <c r="E424" s="30"/>
      <c r="G424" s="30"/>
      <c r="I424" s="30"/>
    </row>
    <row r="425" ht="14.25" customHeight="1">
      <c r="C425" s="30"/>
      <c r="E425" s="30"/>
      <c r="G425" s="30"/>
      <c r="I425" s="30"/>
    </row>
    <row r="426" ht="14.25" customHeight="1">
      <c r="C426" s="30"/>
      <c r="E426" s="30"/>
      <c r="G426" s="30"/>
      <c r="I426" s="30"/>
    </row>
    <row r="427" ht="14.25" customHeight="1">
      <c r="C427" s="30"/>
      <c r="E427" s="30"/>
      <c r="G427" s="30"/>
      <c r="I427" s="30"/>
    </row>
    <row r="428" ht="14.25" customHeight="1">
      <c r="C428" s="30"/>
      <c r="E428" s="30"/>
      <c r="G428" s="30"/>
      <c r="I428" s="30"/>
    </row>
    <row r="429" ht="14.25" customHeight="1">
      <c r="C429" s="30"/>
      <c r="E429" s="30"/>
      <c r="G429" s="30"/>
      <c r="I429" s="30"/>
    </row>
    <row r="430" ht="14.25" customHeight="1">
      <c r="C430" s="30"/>
      <c r="E430" s="30"/>
      <c r="G430" s="30"/>
      <c r="I430" s="30"/>
    </row>
    <row r="431" ht="14.25" customHeight="1">
      <c r="C431" s="30"/>
      <c r="E431" s="30"/>
      <c r="G431" s="30"/>
      <c r="I431" s="30"/>
    </row>
    <row r="432" ht="14.25" customHeight="1">
      <c r="C432" s="30"/>
      <c r="E432" s="30"/>
      <c r="G432" s="30"/>
      <c r="I432" s="30"/>
    </row>
    <row r="433" ht="14.25" customHeight="1">
      <c r="C433" s="30"/>
      <c r="E433" s="30"/>
      <c r="G433" s="30"/>
      <c r="I433" s="30"/>
    </row>
    <row r="434" ht="14.25" customHeight="1">
      <c r="C434" s="30"/>
      <c r="E434" s="30"/>
      <c r="G434" s="30"/>
      <c r="I434" s="30"/>
    </row>
    <row r="435" ht="14.25" customHeight="1">
      <c r="C435" s="30"/>
      <c r="E435" s="30"/>
      <c r="G435" s="30"/>
      <c r="I435" s="30"/>
    </row>
    <row r="436" ht="14.25" customHeight="1">
      <c r="C436" s="30"/>
      <c r="E436" s="30"/>
      <c r="G436" s="30"/>
      <c r="I436" s="30"/>
    </row>
    <row r="437" ht="14.25" customHeight="1">
      <c r="C437" s="30"/>
      <c r="E437" s="30"/>
      <c r="G437" s="30"/>
      <c r="I437" s="30"/>
    </row>
    <row r="438" ht="14.25" customHeight="1">
      <c r="C438" s="30"/>
      <c r="E438" s="30"/>
      <c r="G438" s="30"/>
      <c r="I438" s="30"/>
    </row>
    <row r="439" ht="14.25" customHeight="1">
      <c r="C439" s="30"/>
      <c r="E439" s="30"/>
      <c r="G439" s="30"/>
      <c r="I439" s="30"/>
    </row>
    <row r="440" ht="14.25" customHeight="1">
      <c r="C440" s="30"/>
      <c r="E440" s="30"/>
      <c r="G440" s="30"/>
      <c r="I440" s="30"/>
    </row>
    <row r="441" ht="14.25" customHeight="1">
      <c r="C441" s="30"/>
      <c r="E441" s="30"/>
      <c r="G441" s="30"/>
      <c r="I441" s="30"/>
    </row>
    <row r="442" ht="14.25" customHeight="1">
      <c r="C442" s="30"/>
      <c r="E442" s="30"/>
      <c r="G442" s="30"/>
      <c r="I442" s="30"/>
    </row>
    <row r="443" ht="14.25" customHeight="1">
      <c r="C443" s="30"/>
      <c r="E443" s="30"/>
      <c r="G443" s="30"/>
      <c r="I443" s="30"/>
    </row>
    <row r="444" ht="14.25" customHeight="1">
      <c r="C444" s="30"/>
      <c r="E444" s="30"/>
      <c r="G444" s="30"/>
      <c r="I444" s="30"/>
    </row>
    <row r="445" ht="14.25" customHeight="1">
      <c r="C445" s="30"/>
      <c r="E445" s="30"/>
      <c r="G445" s="30"/>
      <c r="I445" s="30"/>
    </row>
    <row r="446" ht="14.25" customHeight="1">
      <c r="C446" s="30"/>
      <c r="E446" s="30"/>
      <c r="G446" s="30"/>
      <c r="I446" s="30"/>
    </row>
    <row r="447" ht="14.25" customHeight="1">
      <c r="C447" s="30"/>
      <c r="E447" s="30"/>
      <c r="G447" s="30"/>
      <c r="I447" s="30"/>
    </row>
    <row r="448" ht="14.25" customHeight="1">
      <c r="C448" s="30"/>
      <c r="E448" s="30"/>
      <c r="G448" s="30"/>
      <c r="I448" s="30"/>
    </row>
    <row r="449" ht="14.25" customHeight="1">
      <c r="C449" s="30"/>
      <c r="E449" s="30"/>
      <c r="G449" s="30"/>
      <c r="I449" s="30"/>
    </row>
    <row r="450" ht="14.25" customHeight="1">
      <c r="C450" s="30"/>
      <c r="E450" s="30"/>
      <c r="G450" s="30"/>
      <c r="I450" s="30"/>
    </row>
    <row r="451" ht="14.25" customHeight="1">
      <c r="C451" s="30"/>
      <c r="E451" s="30"/>
      <c r="G451" s="30"/>
      <c r="I451" s="30"/>
    </row>
    <row r="452" ht="14.25" customHeight="1">
      <c r="C452" s="30"/>
      <c r="E452" s="30"/>
      <c r="G452" s="30"/>
      <c r="I452" s="30"/>
    </row>
    <row r="453" ht="14.25" customHeight="1">
      <c r="C453" s="30"/>
      <c r="E453" s="30"/>
      <c r="G453" s="30"/>
      <c r="I453" s="30"/>
    </row>
    <row r="454" ht="14.25" customHeight="1">
      <c r="C454" s="30"/>
      <c r="E454" s="30"/>
      <c r="G454" s="30"/>
      <c r="I454" s="30"/>
    </row>
    <row r="455" ht="14.25" customHeight="1">
      <c r="C455" s="30"/>
      <c r="E455" s="30"/>
      <c r="G455" s="30"/>
      <c r="I455" s="30"/>
    </row>
    <row r="456" ht="14.25" customHeight="1">
      <c r="C456" s="30"/>
      <c r="E456" s="30"/>
      <c r="G456" s="30"/>
      <c r="I456" s="30"/>
    </row>
    <row r="457" ht="14.25" customHeight="1">
      <c r="C457" s="30"/>
      <c r="E457" s="30"/>
      <c r="G457" s="30"/>
      <c r="I457" s="30"/>
    </row>
    <row r="458" ht="14.25" customHeight="1">
      <c r="C458" s="30"/>
      <c r="E458" s="30"/>
      <c r="G458" s="30"/>
      <c r="I458" s="30"/>
    </row>
    <row r="459" ht="14.25" customHeight="1">
      <c r="C459" s="30"/>
      <c r="E459" s="30"/>
      <c r="G459" s="30"/>
      <c r="I459" s="30"/>
    </row>
    <row r="460" ht="14.25" customHeight="1">
      <c r="C460" s="30"/>
      <c r="E460" s="30"/>
      <c r="G460" s="30"/>
      <c r="I460" s="30"/>
    </row>
    <row r="461" ht="14.25" customHeight="1">
      <c r="C461" s="30"/>
      <c r="E461" s="30"/>
      <c r="G461" s="30"/>
      <c r="I461" s="30"/>
    </row>
    <row r="462" ht="14.25" customHeight="1">
      <c r="C462" s="30"/>
      <c r="E462" s="30"/>
      <c r="G462" s="30"/>
      <c r="I462" s="30"/>
    </row>
    <row r="463" ht="14.25" customHeight="1">
      <c r="C463" s="30"/>
      <c r="E463" s="30"/>
      <c r="G463" s="30"/>
      <c r="I463" s="30"/>
    </row>
    <row r="464" ht="14.25" customHeight="1">
      <c r="C464" s="30"/>
      <c r="E464" s="30"/>
      <c r="G464" s="30"/>
      <c r="I464" s="30"/>
    </row>
    <row r="465" ht="14.25" customHeight="1">
      <c r="C465" s="30"/>
      <c r="E465" s="30"/>
      <c r="G465" s="30"/>
      <c r="I465" s="30"/>
    </row>
    <row r="466" ht="14.25" customHeight="1">
      <c r="C466" s="30"/>
      <c r="E466" s="30"/>
      <c r="G466" s="30"/>
      <c r="I466" s="30"/>
    </row>
    <row r="467" ht="14.25" customHeight="1">
      <c r="C467" s="30"/>
      <c r="E467" s="30"/>
      <c r="G467" s="30"/>
      <c r="I467" s="30"/>
    </row>
    <row r="468" ht="14.25" customHeight="1">
      <c r="C468" s="30"/>
      <c r="E468" s="30"/>
      <c r="G468" s="30"/>
      <c r="I468" s="30"/>
    </row>
    <row r="469" ht="14.25" customHeight="1">
      <c r="C469" s="30"/>
      <c r="E469" s="30"/>
      <c r="G469" s="30"/>
      <c r="I469" s="30"/>
    </row>
    <row r="470" ht="14.25" customHeight="1">
      <c r="C470" s="30"/>
      <c r="E470" s="30"/>
      <c r="G470" s="30"/>
      <c r="I470" s="30"/>
    </row>
    <row r="471" ht="14.25" customHeight="1">
      <c r="C471" s="30"/>
      <c r="E471" s="30"/>
      <c r="G471" s="30"/>
      <c r="I471" s="30"/>
    </row>
    <row r="472" ht="14.25" customHeight="1">
      <c r="C472" s="30"/>
      <c r="E472" s="30"/>
      <c r="G472" s="30"/>
      <c r="I472" s="30"/>
    </row>
    <row r="473" ht="14.25" customHeight="1">
      <c r="C473" s="30"/>
      <c r="E473" s="30"/>
      <c r="G473" s="30"/>
      <c r="I473" s="30"/>
    </row>
    <row r="474" ht="14.25" customHeight="1">
      <c r="C474" s="30"/>
      <c r="E474" s="30"/>
      <c r="G474" s="30"/>
      <c r="I474" s="30"/>
    </row>
    <row r="475" ht="14.25" customHeight="1">
      <c r="C475" s="30"/>
      <c r="E475" s="30"/>
      <c r="G475" s="30"/>
      <c r="I475" s="30"/>
    </row>
    <row r="476" ht="14.25" customHeight="1">
      <c r="C476" s="30"/>
      <c r="E476" s="30"/>
      <c r="G476" s="30"/>
      <c r="I476" s="30"/>
    </row>
    <row r="477" ht="14.25" customHeight="1">
      <c r="C477" s="30"/>
      <c r="E477" s="30"/>
      <c r="G477" s="30"/>
      <c r="I477" s="30"/>
    </row>
    <row r="478" ht="14.25" customHeight="1">
      <c r="C478" s="30"/>
      <c r="E478" s="30"/>
      <c r="G478" s="30"/>
      <c r="I478" s="30"/>
    </row>
    <row r="479" ht="14.25" customHeight="1">
      <c r="C479" s="30"/>
      <c r="E479" s="30"/>
      <c r="G479" s="30"/>
      <c r="I479" s="30"/>
    </row>
    <row r="480" ht="14.25" customHeight="1">
      <c r="C480" s="30"/>
      <c r="E480" s="30"/>
      <c r="G480" s="30"/>
      <c r="I480" s="30"/>
    </row>
    <row r="481" ht="14.25" customHeight="1">
      <c r="C481" s="30"/>
      <c r="E481" s="30"/>
      <c r="G481" s="30"/>
      <c r="I481" s="30"/>
    </row>
    <row r="482" ht="14.25" customHeight="1">
      <c r="C482" s="30"/>
      <c r="E482" s="30"/>
      <c r="G482" s="30"/>
      <c r="I482" s="30"/>
    </row>
    <row r="483" ht="14.25" customHeight="1">
      <c r="C483" s="30"/>
      <c r="E483" s="30"/>
      <c r="G483" s="30"/>
      <c r="I483" s="30"/>
    </row>
    <row r="484" ht="14.25" customHeight="1">
      <c r="C484" s="30"/>
      <c r="E484" s="30"/>
      <c r="G484" s="30"/>
      <c r="I484" s="30"/>
    </row>
    <row r="485" ht="14.25" customHeight="1">
      <c r="C485" s="30"/>
      <c r="E485" s="30"/>
      <c r="G485" s="30"/>
      <c r="I485" s="30"/>
    </row>
    <row r="486" ht="14.25" customHeight="1">
      <c r="C486" s="30"/>
      <c r="E486" s="30"/>
      <c r="G486" s="30"/>
      <c r="I486" s="30"/>
    </row>
    <row r="487" ht="14.25" customHeight="1">
      <c r="C487" s="30"/>
      <c r="E487" s="30"/>
      <c r="G487" s="30"/>
      <c r="I487" s="30"/>
    </row>
    <row r="488" ht="14.25" customHeight="1">
      <c r="C488" s="30"/>
      <c r="E488" s="30"/>
      <c r="G488" s="30"/>
      <c r="I488" s="30"/>
    </row>
    <row r="489" ht="14.25" customHeight="1">
      <c r="C489" s="30"/>
      <c r="E489" s="30"/>
      <c r="G489" s="30"/>
      <c r="I489" s="30"/>
    </row>
    <row r="490" ht="14.25" customHeight="1">
      <c r="C490" s="30"/>
      <c r="E490" s="30"/>
      <c r="G490" s="30"/>
      <c r="I490" s="30"/>
    </row>
    <row r="491" ht="14.25" customHeight="1">
      <c r="C491" s="30"/>
      <c r="E491" s="30"/>
      <c r="G491" s="30"/>
      <c r="I491" s="30"/>
    </row>
    <row r="492" ht="14.25" customHeight="1">
      <c r="C492" s="30"/>
      <c r="E492" s="30"/>
      <c r="G492" s="30"/>
      <c r="I492" s="30"/>
    </row>
    <row r="493" ht="14.25" customHeight="1">
      <c r="C493" s="30"/>
      <c r="E493" s="30"/>
      <c r="G493" s="30"/>
      <c r="I493" s="30"/>
    </row>
    <row r="494" ht="14.25" customHeight="1">
      <c r="C494" s="30"/>
      <c r="E494" s="30"/>
      <c r="G494" s="30"/>
      <c r="I494" s="30"/>
    </row>
    <row r="495" ht="14.25" customHeight="1">
      <c r="C495" s="30"/>
      <c r="E495" s="30"/>
      <c r="G495" s="30"/>
      <c r="I495" s="30"/>
    </row>
    <row r="496" ht="14.25" customHeight="1">
      <c r="C496" s="30"/>
      <c r="E496" s="30"/>
      <c r="G496" s="30"/>
      <c r="I496" s="30"/>
    </row>
    <row r="497" ht="14.25" customHeight="1">
      <c r="C497" s="30"/>
      <c r="E497" s="30"/>
      <c r="G497" s="30"/>
      <c r="I497" s="30"/>
    </row>
    <row r="498" ht="14.25" customHeight="1">
      <c r="C498" s="30"/>
      <c r="E498" s="30"/>
      <c r="G498" s="30"/>
      <c r="I498" s="30"/>
    </row>
    <row r="499" ht="14.25" customHeight="1">
      <c r="C499" s="30"/>
      <c r="E499" s="30"/>
      <c r="G499" s="30"/>
      <c r="I499" s="30"/>
    </row>
    <row r="500" ht="14.25" customHeight="1">
      <c r="C500" s="30"/>
      <c r="E500" s="30"/>
      <c r="G500" s="30"/>
      <c r="I500" s="30"/>
    </row>
    <row r="501" ht="14.25" customHeight="1">
      <c r="C501" s="30"/>
      <c r="E501" s="30"/>
      <c r="G501" s="30"/>
      <c r="I501" s="30"/>
    </row>
    <row r="502" ht="14.25" customHeight="1">
      <c r="C502" s="30"/>
      <c r="E502" s="30"/>
      <c r="G502" s="30"/>
      <c r="I502" s="30"/>
    </row>
    <row r="503" ht="14.25" customHeight="1">
      <c r="C503" s="30"/>
      <c r="E503" s="30"/>
      <c r="G503" s="30"/>
      <c r="I503" s="30"/>
    </row>
    <row r="504" ht="14.25" customHeight="1">
      <c r="C504" s="30"/>
      <c r="E504" s="30"/>
      <c r="G504" s="30"/>
      <c r="I504" s="30"/>
    </row>
    <row r="505" ht="14.25" customHeight="1">
      <c r="C505" s="30"/>
      <c r="E505" s="30"/>
      <c r="G505" s="30"/>
      <c r="I505" s="30"/>
    </row>
    <row r="506" ht="14.25" customHeight="1">
      <c r="C506" s="30"/>
      <c r="E506" s="30"/>
      <c r="G506" s="30"/>
      <c r="I506" s="30"/>
    </row>
    <row r="507" ht="14.25" customHeight="1">
      <c r="C507" s="30"/>
      <c r="E507" s="30"/>
      <c r="G507" s="30"/>
      <c r="I507" s="30"/>
    </row>
    <row r="508" ht="14.25" customHeight="1">
      <c r="C508" s="30"/>
      <c r="E508" s="30"/>
      <c r="G508" s="30"/>
      <c r="I508" s="30"/>
    </row>
    <row r="509" ht="14.25" customHeight="1">
      <c r="C509" s="30"/>
      <c r="E509" s="30"/>
      <c r="G509" s="30"/>
      <c r="I509" s="30"/>
    </row>
    <row r="510" ht="14.25" customHeight="1">
      <c r="C510" s="30"/>
      <c r="E510" s="30"/>
      <c r="G510" s="30"/>
      <c r="I510" s="30"/>
    </row>
    <row r="511" ht="14.25" customHeight="1">
      <c r="C511" s="30"/>
      <c r="E511" s="30"/>
      <c r="G511" s="30"/>
      <c r="I511" s="30"/>
    </row>
    <row r="512" ht="14.25" customHeight="1">
      <c r="C512" s="30"/>
      <c r="E512" s="30"/>
      <c r="G512" s="30"/>
      <c r="I512" s="30"/>
    </row>
    <row r="513" ht="14.25" customHeight="1">
      <c r="C513" s="30"/>
      <c r="E513" s="30"/>
      <c r="G513" s="30"/>
      <c r="I513" s="30"/>
    </row>
    <row r="514" ht="14.25" customHeight="1">
      <c r="C514" s="30"/>
      <c r="E514" s="30"/>
      <c r="G514" s="30"/>
      <c r="I514" s="30"/>
    </row>
    <row r="515" ht="14.25" customHeight="1">
      <c r="C515" s="30"/>
      <c r="E515" s="30"/>
      <c r="G515" s="30"/>
      <c r="I515" s="30"/>
    </row>
    <row r="516" ht="14.25" customHeight="1">
      <c r="C516" s="30"/>
      <c r="E516" s="30"/>
      <c r="G516" s="30"/>
      <c r="I516" s="30"/>
    </row>
    <row r="517" ht="14.25" customHeight="1">
      <c r="C517" s="30"/>
      <c r="E517" s="30"/>
      <c r="G517" s="30"/>
      <c r="I517" s="30"/>
    </row>
    <row r="518" ht="14.25" customHeight="1">
      <c r="C518" s="30"/>
      <c r="E518" s="30"/>
      <c r="G518" s="30"/>
      <c r="I518" s="30"/>
    </row>
    <row r="519" ht="14.25" customHeight="1">
      <c r="C519" s="30"/>
      <c r="E519" s="30"/>
      <c r="G519" s="30"/>
      <c r="I519" s="30"/>
    </row>
    <row r="520" ht="14.25" customHeight="1">
      <c r="C520" s="30"/>
      <c r="E520" s="30"/>
      <c r="G520" s="30"/>
      <c r="I520" s="30"/>
    </row>
    <row r="521" ht="14.25" customHeight="1">
      <c r="C521" s="30"/>
      <c r="E521" s="30"/>
      <c r="G521" s="30"/>
      <c r="I521" s="30"/>
    </row>
    <row r="522" ht="14.25" customHeight="1">
      <c r="C522" s="30"/>
      <c r="E522" s="30"/>
      <c r="G522" s="30"/>
      <c r="I522" s="30"/>
    </row>
    <row r="523" ht="14.25" customHeight="1">
      <c r="C523" s="30"/>
      <c r="E523" s="30"/>
      <c r="G523" s="30"/>
      <c r="I523" s="30"/>
    </row>
    <row r="524" ht="14.25" customHeight="1">
      <c r="C524" s="30"/>
      <c r="E524" s="30"/>
      <c r="G524" s="30"/>
      <c r="I524" s="30"/>
    </row>
    <row r="525" ht="14.25" customHeight="1">
      <c r="C525" s="30"/>
      <c r="E525" s="30"/>
      <c r="G525" s="30"/>
      <c r="I525" s="30"/>
    </row>
    <row r="526" ht="14.25" customHeight="1">
      <c r="C526" s="30"/>
      <c r="E526" s="30"/>
      <c r="G526" s="30"/>
      <c r="I526" s="30"/>
    </row>
    <row r="527" ht="14.25" customHeight="1">
      <c r="C527" s="30"/>
      <c r="E527" s="30"/>
      <c r="G527" s="30"/>
      <c r="I527" s="30"/>
    </row>
    <row r="528" ht="14.25" customHeight="1">
      <c r="C528" s="30"/>
      <c r="E528" s="30"/>
      <c r="G528" s="30"/>
      <c r="I528" s="30"/>
    </row>
    <row r="529" ht="14.25" customHeight="1">
      <c r="C529" s="30"/>
      <c r="E529" s="30"/>
      <c r="G529" s="30"/>
      <c r="I529" s="30"/>
    </row>
    <row r="530" ht="14.25" customHeight="1">
      <c r="C530" s="30"/>
      <c r="E530" s="30"/>
      <c r="G530" s="30"/>
      <c r="I530" s="30"/>
    </row>
    <row r="531" ht="14.25" customHeight="1">
      <c r="C531" s="30"/>
      <c r="E531" s="30"/>
      <c r="G531" s="30"/>
      <c r="I531" s="30"/>
    </row>
    <row r="532" ht="14.25" customHeight="1">
      <c r="C532" s="30"/>
      <c r="E532" s="30"/>
      <c r="G532" s="30"/>
      <c r="I532" s="30"/>
    </row>
    <row r="533" ht="14.25" customHeight="1">
      <c r="C533" s="30"/>
      <c r="E533" s="30"/>
      <c r="G533" s="30"/>
      <c r="I533" s="30"/>
    </row>
    <row r="534" ht="14.25" customHeight="1">
      <c r="C534" s="30"/>
      <c r="E534" s="30"/>
      <c r="G534" s="30"/>
      <c r="I534" s="30"/>
    </row>
    <row r="535" ht="14.25" customHeight="1">
      <c r="C535" s="30"/>
      <c r="E535" s="30"/>
      <c r="G535" s="30"/>
      <c r="I535" s="30"/>
    </row>
    <row r="536" ht="14.25" customHeight="1">
      <c r="C536" s="30"/>
      <c r="E536" s="30"/>
      <c r="G536" s="30"/>
      <c r="I536" s="30"/>
    </row>
    <row r="537" ht="14.25" customHeight="1">
      <c r="C537" s="30"/>
      <c r="E537" s="30"/>
      <c r="G537" s="30"/>
      <c r="I537" s="30"/>
    </row>
    <row r="538" ht="14.25" customHeight="1">
      <c r="C538" s="30"/>
      <c r="E538" s="30"/>
      <c r="G538" s="30"/>
      <c r="I538" s="30"/>
    </row>
    <row r="539" ht="14.25" customHeight="1">
      <c r="C539" s="30"/>
      <c r="E539" s="30"/>
      <c r="G539" s="30"/>
      <c r="I539" s="30"/>
    </row>
    <row r="540" ht="14.25" customHeight="1">
      <c r="C540" s="30"/>
      <c r="E540" s="30"/>
      <c r="G540" s="30"/>
      <c r="I540" s="30"/>
    </row>
    <row r="541" ht="14.25" customHeight="1">
      <c r="C541" s="30"/>
      <c r="E541" s="30"/>
      <c r="G541" s="30"/>
      <c r="I541" s="30"/>
    </row>
    <row r="542" ht="14.25" customHeight="1">
      <c r="C542" s="30"/>
      <c r="E542" s="30"/>
      <c r="G542" s="30"/>
      <c r="I542" s="30"/>
    </row>
    <row r="543" ht="14.25" customHeight="1">
      <c r="C543" s="30"/>
      <c r="E543" s="30"/>
      <c r="G543" s="30"/>
      <c r="I543" s="30"/>
    </row>
    <row r="544" ht="14.25" customHeight="1">
      <c r="C544" s="30"/>
      <c r="E544" s="30"/>
      <c r="G544" s="30"/>
      <c r="I544" s="30"/>
    </row>
    <row r="545" ht="14.25" customHeight="1">
      <c r="C545" s="30"/>
      <c r="E545" s="30"/>
      <c r="G545" s="30"/>
      <c r="I545" s="30"/>
    </row>
    <row r="546" ht="14.25" customHeight="1">
      <c r="C546" s="30"/>
      <c r="E546" s="30"/>
      <c r="G546" s="30"/>
      <c r="I546" s="30"/>
    </row>
    <row r="547" ht="14.25" customHeight="1">
      <c r="C547" s="30"/>
      <c r="E547" s="30"/>
      <c r="G547" s="30"/>
      <c r="I547" s="30"/>
    </row>
    <row r="548" ht="14.25" customHeight="1">
      <c r="C548" s="30"/>
      <c r="E548" s="30"/>
      <c r="G548" s="30"/>
      <c r="I548" s="30"/>
    </row>
    <row r="549" ht="14.25" customHeight="1">
      <c r="C549" s="30"/>
      <c r="E549" s="30"/>
      <c r="G549" s="30"/>
      <c r="I549" s="30"/>
    </row>
    <row r="550" ht="14.25" customHeight="1">
      <c r="C550" s="30"/>
      <c r="E550" s="30"/>
      <c r="G550" s="30"/>
      <c r="I550" s="30"/>
    </row>
    <row r="551" ht="14.25" customHeight="1">
      <c r="C551" s="30"/>
      <c r="E551" s="30"/>
      <c r="G551" s="30"/>
      <c r="I551" s="30"/>
    </row>
    <row r="552" ht="14.25" customHeight="1">
      <c r="C552" s="30"/>
      <c r="E552" s="30"/>
      <c r="G552" s="30"/>
      <c r="I552" s="30"/>
    </row>
    <row r="553" ht="14.25" customHeight="1">
      <c r="C553" s="30"/>
      <c r="E553" s="30"/>
      <c r="G553" s="30"/>
      <c r="I553" s="30"/>
    </row>
    <row r="554" ht="14.25" customHeight="1">
      <c r="C554" s="30"/>
      <c r="E554" s="30"/>
      <c r="G554" s="30"/>
      <c r="I554" s="30"/>
    </row>
    <row r="555" ht="14.25" customHeight="1">
      <c r="C555" s="30"/>
      <c r="E555" s="30"/>
      <c r="G555" s="30"/>
      <c r="I555" s="30"/>
    </row>
    <row r="556" ht="14.25" customHeight="1">
      <c r="C556" s="30"/>
      <c r="E556" s="30"/>
      <c r="G556" s="30"/>
      <c r="I556" s="30"/>
    </row>
    <row r="557" ht="14.25" customHeight="1">
      <c r="C557" s="30"/>
      <c r="E557" s="30"/>
      <c r="G557" s="30"/>
      <c r="I557" s="30"/>
    </row>
    <row r="558" ht="14.25" customHeight="1">
      <c r="C558" s="30"/>
      <c r="E558" s="30"/>
      <c r="G558" s="30"/>
      <c r="I558" s="30"/>
    </row>
    <row r="559" ht="14.25" customHeight="1">
      <c r="C559" s="30"/>
      <c r="E559" s="30"/>
      <c r="G559" s="30"/>
      <c r="I559" s="30"/>
    </row>
    <row r="560" ht="14.25" customHeight="1">
      <c r="C560" s="30"/>
      <c r="E560" s="30"/>
      <c r="G560" s="30"/>
      <c r="I560" s="30"/>
    </row>
    <row r="561" ht="14.25" customHeight="1">
      <c r="C561" s="30"/>
      <c r="E561" s="30"/>
      <c r="G561" s="30"/>
      <c r="I561" s="30"/>
    </row>
    <row r="562" ht="14.25" customHeight="1">
      <c r="C562" s="30"/>
      <c r="E562" s="30"/>
      <c r="G562" s="30"/>
      <c r="I562" s="30"/>
    </row>
    <row r="563" ht="14.25" customHeight="1">
      <c r="C563" s="30"/>
      <c r="E563" s="30"/>
      <c r="G563" s="30"/>
      <c r="I563" s="30"/>
    </row>
    <row r="564" ht="14.25" customHeight="1">
      <c r="C564" s="30"/>
      <c r="E564" s="30"/>
      <c r="G564" s="30"/>
      <c r="I564" s="30"/>
    </row>
    <row r="565" ht="14.25" customHeight="1">
      <c r="C565" s="30"/>
      <c r="E565" s="30"/>
      <c r="G565" s="30"/>
      <c r="I565" s="30"/>
    </row>
    <row r="566" ht="14.25" customHeight="1">
      <c r="C566" s="30"/>
      <c r="E566" s="30"/>
      <c r="G566" s="30"/>
      <c r="I566" s="30"/>
    </row>
    <row r="567" ht="14.25" customHeight="1">
      <c r="C567" s="30"/>
      <c r="E567" s="30"/>
      <c r="G567" s="30"/>
      <c r="I567" s="30"/>
    </row>
    <row r="568" ht="14.25" customHeight="1">
      <c r="C568" s="30"/>
      <c r="E568" s="30"/>
      <c r="G568" s="30"/>
      <c r="I568" s="30"/>
    </row>
    <row r="569" ht="14.25" customHeight="1">
      <c r="C569" s="30"/>
      <c r="E569" s="30"/>
      <c r="G569" s="30"/>
      <c r="I569" s="30"/>
    </row>
    <row r="570" ht="14.25" customHeight="1">
      <c r="C570" s="30"/>
      <c r="E570" s="30"/>
      <c r="G570" s="30"/>
      <c r="I570" s="30"/>
    </row>
    <row r="571" ht="14.25" customHeight="1">
      <c r="C571" s="30"/>
      <c r="E571" s="30"/>
      <c r="G571" s="30"/>
      <c r="I571" s="30"/>
    </row>
    <row r="572" ht="14.25" customHeight="1">
      <c r="C572" s="30"/>
      <c r="E572" s="30"/>
      <c r="G572" s="30"/>
      <c r="I572" s="30"/>
    </row>
    <row r="573" ht="14.25" customHeight="1">
      <c r="C573" s="30"/>
      <c r="E573" s="30"/>
      <c r="G573" s="30"/>
      <c r="I573" s="30"/>
    </row>
    <row r="574" ht="14.25" customHeight="1">
      <c r="C574" s="30"/>
      <c r="E574" s="30"/>
      <c r="G574" s="30"/>
      <c r="I574" s="30"/>
    </row>
    <row r="575" ht="14.25" customHeight="1">
      <c r="C575" s="30"/>
      <c r="E575" s="30"/>
      <c r="G575" s="30"/>
      <c r="I575" s="30"/>
    </row>
    <row r="576" ht="14.25" customHeight="1">
      <c r="C576" s="30"/>
      <c r="E576" s="30"/>
      <c r="G576" s="30"/>
      <c r="I576" s="30"/>
    </row>
    <row r="577" ht="14.25" customHeight="1">
      <c r="C577" s="30"/>
      <c r="E577" s="30"/>
      <c r="G577" s="30"/>
      <c r="I577" s="30"/>
    </row>
    <row r="578" ht="14.25" customHeight="1">
      <c r="C578" s="30"/>
      <c r="E578" s="30"/>
      <c r="G578" s="30"/>
      <c r="I578" s="30"/>
    </row>
    <row r="579" ht="14.25" customHeight="1">
      <c r="C579" s="30"/>
      <c r="E579" s="30"/>
      <c r="G579" s="30"/>
      <c r="I579" s="30"/>
    </row>
    <row r="580" ht="14.25" customHeight="1">
      <c r="C580" s="30"/>
      <c r="E580" s="30"/>
      <c r="G580" s="30"/>
      <c r="I580" s="30"/>
    </row>
    <row r="581" ht="14.25" customHeight="1">
      <c r="C581" s="30"/>
      <c r="E581" s="30"/>
      <c r="G581" s="30"/>
      <c r="I581" s="30"/>
    </row>
    <row r="582" ht="14.25" customHeight="1">
      <c r="C582" s="30"/>
      <c r="E582" s="30"/>
      <c r="G582" s="30"/>
      <c r="I582" s="30"/>
    </row>
    <row r="583" ht="14.25" customHeight="1">
      <c r="C583" s="30"/>
      <c r="E583" s="30"/>
      <c r="G583" s="30"/>
      <c r="I583" s="30"/>
    </row>
    <row r="584" ht="14.25" customHeight="1">
      <c r="C584" s="30"/>
      <c r="E584" s="30"/>
      <c r="G584" s="30"/>
      <c r="I584" s="30"/>
    </row>
    <row r="585" ht="14.25" customHeight="1">
      <c r="C585" s="30"/>
      <c r="E585" s="30"/>
      <c r="G585" s="30"/>
      <c r="I585" s="30"/>
    </row>
    <row r="586" ht="14.25" customHeight="1">
      <c r="C586" s="30"/>
      <c r="E586" s="30"/>
      <c r="G586" s="30"/>
      <c r="I586" s="30"/>
    </row>
    <row r="587" ht="14.25" customHeight="1">
      <c r="C587" s="30"/>
      <c r="E587" s="30"/>
      <c r="G587" s="30"/>
      <c r="I587" s="30"/>
    </row>
    <row r="588" ht="14.25" customHeight="1">
      <c r="C588" s="30"/>
      <c r="E588" s="30"/>
      <c r="G588" s="30"/>
      <c r="I588" s="30"/>
    </row>
    <row r="589" ht="14.25" customHeight="1">
      <c r="C589" s="30"/>
      <c r="E589" s="30"/>
      <c r="G589" s="30"/>
      <c r="I589" s="30"/>
    </row>
    <row r="590" ht="14.25" customHeight="1">
      <c r="C590" s="30"/>
      <c r="E590" s="30"/>
      <c r="G590" s="30"/>
      <c r="I590" s="30"/>
    </row>
    <row r="591" ht="14.25" customHeight="1">
      <c r="C591" s="30"/>
      <c r="E591" s="30"/>
      <c r="G591" s="30"/>
      <c r="I591" s="30"/>
    </row>
    <row r="592" ht="14.25" customHeight="1">
      <c r="C592" s="30"/>
      <c r="E592" s="30"/>
      <c r="G592" s="30"/>
      <c r="I592" s="30"/>
    </row>
    <row r="593" ht="14.25" customHeight="1">
      <c r="C593" s="30"/>
      <c r="E593" s="30"/>
      <c r="G593" s="30"/>
      <c r="I593" s="30"/>
    </row>
    <row r="594" ht="14.25" customHeight="1">
      <c r="C594" s="30"/>
      <c r="E594" s="30"/>
      <c r="G594" s="30"/>
      <c r="I594" s="30"/>
    </row>
    <row r="595" ht="14.25" customHeight="1">
      <c r="C595" s="30"/>
      <c r="E595" s="30"/>
      <c r="G595" s="30"/>
      <c r="I595" s="30"/>
    </row>
    <row r="596" ht="14.25" customHeight="1">
      <c r="C596" s="30"/>
      <c r="E596" s="30"/>
      <c r="G596" s="30"/>
      <c r="I596" s="30"/>
    </row>
    <row r="597" ht="14.25" customHeight="1">
      <c r="C597" s="30"/>
      <c r="E597" s="30"/>
      <c r="G597" s="30"/>
      <c r="I597" s="30"/>
    </row>
    <row r="598" ht="14.25" customHeight="1">
      <c r="C598" s="30"/>
      <c r="E598" s="30"/>
      <c r="G598" s="30"/>
      <c r="I598" s="30"/>
    </row>
    <row r="599" ht="14.25" customHeight="1">
      <c r="C599" s="30"/>
      <c r="E599" s="30"/>
      <c r="G599" s="30"/>
      <c r="I599" s="30"/>
    </row>
    <row r="600" ht="14.25" customHeight="1">
      <c r="C600" s="30"/>
      <c r="E600" s="30"/>
      <c r="G600" s="30"/>
      <c r="I600" s="30"/>
    </row>
    <row r="601" ht="14.25" customHeight="1">
      <c r="C601" s="30"/>
      <c r="E601" s="30"/>
      <c r="G601" s="30"/>
      <c r="I601" s="30"/>
    </row>
    <row r="602" ht="14.25" customHeight="1">
      <c r="C602" s="30"/>
      <c r="E602" s="30"/>
      <c r="G602" s="30"/>
      <c r="I602" s="30"/>
    </row>
    <row r="603" ht="14.25" customHeight="1">
      <c r="C603" s="30"/>
      <c r="E603" s="30"/>
      <c r="G603" s="30"/>
      <c r="I603" s="30"/>
    </row>
    <row r="604" ht="14.25" customHeight="1">
      <c r="C604" s="30"/>
      <c r="E604" s="30"/>
      <c r="G604" s="30"/>
      <c r="I604" s="30"/>
    </row>
    <row r="605" ht="14.25" customHeight="1">
      <c r="C605" s="30"/>
      <c r="E605" s="30"/>
      <c r="G605" s="30"/>
      <c r="I605" s="30"/>
    </row>
    <row r="606" ht="14.25" customHeight="1">
      <c r="C606" s="30"/>
      <c r="E606" s="30"/>
      <c r="G606" s="30"/>
      <c r="I606" s="30"/>
    </row>
    <row r="607" ht="14.25" customHeight="1">
      <c r="C607" s="30"/>
      <c r="E607" s="30"/>
      <c r="G607" s="30"/>
      <c r="I607" s="30"/>
    </row>
    <row r="608" ht="14.25" customHeight="1">
      <c r="C608" s="30"/>
      <c r="E608" s="30"/>
      <c r="G608" s="30"/>
      <c r="I608" s="30"/>
    </row>
    <row r="609" ht="14.25" customHeight="1">
      <c r="C609" s="30"/>
      <c r="E609" s="30"/>
      <c r="G609" s="30"/>
      <c r="I609" s="30"/>
    </row>
    <row r="610" ht="14.25" customHeight="1">
      <c r="C610" s="30"/>
      <c r="E610" s="30"/>
      <c r="G610" s="30"/>
      <c r="I610" s="30"/>
    </row>
    <row r="611" ht="14.25" customHeight="1">
      <c r="C611" s="30"/>
      <c r="E611" s="30"/>
      <c r="G611" s="30"/>
      <c r="I611" s="30"/>
    </row>
    <row r="612" ht="14.25" customHeight="1">
      <c r="C612" s="30"/>
      <c r="E612" s="30"/>
      <c r="G612" s="30"/>
      <c r="I612" s="30"/>
    </row>
    <row r="613" ht="14.25" customHeight="1">
      <c r="C613" s="30"/>
      <c r="E613" s="30"/>
      <c r="G613" s="30"/>
      <c r="I613" s="30"/>
    </row>
    <row r="614" ht="14.25" customHeight="1">
      <c r="C614" s="30"/>
      <c r="E614" s="30"/>
      <c r="G614" s="30"/>
      <c r="I614" s="30"/>
    </row>
    <row r="615" ht="14.25" customHeight="1">
      <c r="C615" s="30"/>
      <c r="E615" s="30"/>
      <c r="G615" s="30"/>
      <c r="I615" s="30"/>
    </row>
    <row r="616" ht="14.25" customHeight="1">
      <c r="C616" s="30"/>
      <c r="E616" s="30"/>
      <c r="G616" s="30"/>
      <c r="I616" s="30"/>
    </row>
    <row r="617" ht="14.25" customHeight="1">
      <c r="C617" s="30"/>
      <c r="E617" s="30"/>
      <c r="G617" s="30"/>
      <c r="I617" s="30"/>
    </row>
    <row r="618" ht="14.25" customHeight="1">
      <c r="C618" s="30"/>
      <c r="E618" s="30"/>
      <c r="G618" s="30"/>
      <c r="I618" s="30"/>
    </row>
    <row r="619" ht="14.25" customHeight="1">
      <c r="C619" s="30"/>
      <c r="E619" s="30"/>
      <c r="G619" s="30"/>
      <c r="I619" s="30"/>
    </row>
    <row r="620" ht="14.25" customHeight="1">
      <c r="C620" s="30"/>
      <c r="E620" s="30"/>
      <c r="G620" s="30"/>
      <c r="I620" s="30"/>
    </row>
    <row r="621" ht="14.25" customHeight="1">
      <c r="C621" s="30"/>
      <c r="E621" s="30"/>
      <c r="G621" s="30"/>
      <c r="I621" s="30"/>
    </row>
    <row r="622" ht="14.25" customHeight="1">
      <c r="C622" s="30"/>
      <c r="E622" s="30"/>
      <c r="G622" s="30"/>
      <c r="I622" s="30"/>
    </row>
    <row r="623" ht="14.25" customHeight="1">
      <c r="C623" s="30"/>
      <c r="E623" s="30"/>
      <c r="G623" s="30"/>
      <c r="I623" s="30"/>
    </row>
    <row r="624" ht="14.25" customHeight="1">
      <c r="C624" s="30"/>
      <c r="E624" s="30"/>
      <c r="G624" s="30"/>
      <c r="I624" s="30"/>
    </row>
    <row r="625" ht="14.25" customHeight="1">
      <c r="C625" s="30"/>
      <c r="E625" s="30"/>
      <c r="G625" s="30"/>
      <c r="I625" s="30"/>
    </row>
    <row r="626" ht="14.25" customHeight="1">
      <c r="C626" s="30"/>
      <c r="E626" s="30"/>
      <c r="G626" s="30"/>
      <c r="I626" s="30"/>
    </row>
    <row r="627" ht="14.25" customHeight="1">
      <c r="C627" s="30"/>
      <c r="E627" s="30"/>
      <c r="G627" s="30"/>
      <c r="I627" s="30"/>
    </row>
    <row r="628" ht="14.25" customHeight="1">
      <c r="C628" s="30"/>
      <c r="E628" s="30"/>
      <c r="G628" s="30"/>
      <c r="I628" s="30"/>
    </row>
    <row r="629" ht="14.25" customHeight="1">
      <c r="C629" s="30"/>
      <c r="E629" s="30"/>
      <c r="G629" s="30"/>
      <c r="I629" s="30"/>
    </row>
    <row r="630" ht="14.25" customHeight="1">
      <c r="C630" s="30"/>
      <c r="E630" s="30"/>
      <c r="G630" s="30"/>
      <c r="I630" s="30"/>
    </row>
    <row r="631" ht="14.25" customHeight="1">
      <c r="C631" s="30"/>
      <c r="E631" s="30"/>
      <c r="G631" s="30"/>
      <c r="I631" s="30"/>
    </row>
    <row r="632" ht="14.25" customHeight="1">
      <c r="C632" s="30"/>
      <c r="E632" s="30"/>
      <c r="G632" s="30"/>
      <c r="I632" s="30"/>
    </row>
    <row r="633" ht="14.25" customHeight="1">
      <c r="C633" s="30"/>
      <c r="E633" s="30"/>
      <c r="G633" s="30"/>
      <c r="I633" s="30"/>
    </row>
    <row r="634" ht="14.25" customHeight="1">
      <c r="C634" s="30"/>
      <c r="E634" s="30"/>
      <c r="G634" s="30"/>
      <c r="I634" s="30"/>
    </row>
    <row r="635" ht="14.25" customHeight="1">
      <c r="C635" s="30"/>
      <c r="E635" s="30"/>
      <c r="G635" s="30"/>
      <c r="I635" s="30"/>
    </row>
    <row r="636" ht="14.25" customHeight="1">
      <c r="C636" s="30"/>
      <c r="E636" s="30"/>
      <c r="G636" s="30"/>
      <c r="I636" s="30"/>
    </row>
    <row r="637" ht="14.25" customHeight="1">
      <c r="C637" s="30"/>
      <c r="E637" s="30"/>
      <c r="G637" s="30"/>
      <c r="I637" s="30"/>
    </row>
    <row r="638" ht="14.25" customHeight="1">
      <c r="C638" s="30"/>
      <c r="E638" s="30"/>
      <c r="G638" s="30"/>
      <c r="I638" s="30"/>
    </row>
    <row r="639" ht="14.25" customHeight="1">
      <c r="C639" s="30"/>
      <c r="E639" s="30"/>
      <c r="G639" s="30"/>
      <c r="I639" s="30"/>
    </row>
    <row r="640" ht="14.25" customHeight="1">
      <c r="C640" s="30"/>
      <c r="E640" s="30"/>
      <c r="G640" s="30"/>
      <c r="I640" s="30"/>
    </row>
    <row r="641" ht="14.25" customHeight="1">
      <c r="C641" s="30"/>
      <c r="E641" s="30"/>
      <c r="G641" s="30"/>
      <c r="I641" s="30"/>
    </row>
    <row r="642" ht="14.25" customHeight="1">
      <c r="C642" s="30"/>
      <c r="E642" s="30"/>
      <c r="G642" s="30"/>
      <c r="I642" s="30"/>
    </row>
    <row r="643" ht="14.25" customHeight="1">
      <c r="C643" s="30"/>
      <c r="E643" s="30"/>
      <c r="G643" s="30"/>
      <c r="I643" s="30"/>
    </row>
    <row r="644" ht="14.25" customHeight="1">
      <c r="C644" s="30"/>
      <c r="E644" s="30"/>
      <c r="G644" s="30"/>
      <c r="I644" s="30"/>
    </row>
    <row r="645" ht="14.25" customHeight="1">
      <c r="C645" s="30"/>
      <c r="E645" s="30"/>
      <c r="G645" s="30"/>
      <c r="I645" s="30"/>
    </row>
    <row r="646" ht="14.25" customHeight="1">
      <c r="C646" s="30"/>
      <c r="E646" s="30"/>
      <c r="G646" s="30"/>
      <c r="I646" s="30"/>
    </row>
    <row r="647" ht="14.25" customHeight="1">
      <c r="C647" s="30"/>
      <c r="E647" s="30"/>
      <c r="G647" s="30"/>
      <c r="I647" s="30"/>
    </row>
    <row r="648" ht="14.25" customHeight="1">
      <c r="C648" s="30"/>
      <c r="E648" s="30"/>
      <c r="G648" s="30"/>
      <c r="I648" s="30"/>
    </row>
    <row r="649" ht="14.25" customHeight="1">
      <c r="C649" s="30"/>
      <c r="E649" s="30"/>
      <c r="G649" s="30"/>
      <c r="I649" s="30"/>
    </row>
    <row r="650" ht="14.25" customHeight="1">
      <c r="C650" s="30"/>
      <c r="E650" s="30"/>
      <c r="G650" s="30"/>
      <c r="I650" s="30"/>
    </row>
    <row r="651" ht="14.25" customHeight="1">
      <c r="C651" s="30"/>
      <c r="E651" s="30"/>
      <c r="G651" s="30"/>
      <c r="I651" s="30"/>
    </row>
    <row r="652" ht="14.25" customHeight="1">
      <c r="C652" s="30"/>
      <c r="E652" s="30"/>
      <c r="G652" s="30"/>
      <c r="I652" s="30"/>
    </row>
    <row r="653" ht="14.25" customHeight="1">
      <c r="C653" s="30"/>
      <c r="E653" s="30"/>
      <c r="G653" s="30"/>
      <c r="I653" s="30"/>
    </row>
    <row r="654" ht="14.25" customHeight="1">
      <c r="C654" s="30"/>
      <c r="E654" s="30"/>
      <c r="G654" s="30"/>
      <c r="I654" s="30"/>
    </row>
    <row r="655" ht="14.25" customHeight="1">
      <c r="C655" s="30"/>
      <c r="E655" s="30"/>
      <c r="G655" s="30"/>
      <c r="I655" s="30"/>
    </row>
    <row r="656" ht="14.25" customHeight="1">
      <c r="C656" s="30"/>
      <c r="E656" s="30"/>
      <c r="G656" s="30"/>
      <c r="I656" s="30"/>
    </row>
    <row r="657" ht="14.25" customHeight="1">
      <c r="C657" s="30"/>
      <c r="E657" s="30"/>
      <c r="G657" s="30"/>
      <c r="I657" s="30"/>
    </row>
    <row r="658" ht="14.25" customHeight="1">
      <c r="C658" s="30"/>
      <c r="E658" s="30"/>
      <c r="G658" s="30"/>
      <c r="I658" s="30"/>
    </row>
    <row r="659" ht="14.25" customHeight="1">
      <c r="C659" s="30"/>
      <c r="E659" s="30"/>
      <c r="G659" s="30"/>
      <c r="I659" s="30"/>
    </row>
    <row r="660" ht="14.25" customHeight="1">
      <c r="C660" s="30"/>
      <c r="E660" s="30"/>
      <c r="G660" s="30"/>
      <c r="I660" s="30"/>
    </row>
    <row r="661" ht="14.25" customHeight="1">
      <c r="C661" s="30"/>
      <c r="E661" s="30"/>
      <c r="G661" s="30"/>
      <c r="I661" s="30"/>
    </row>
    <row r="662" ht="14.25" customHeight="1">
      <c r="C662" s="30"/>
      <c r="E662" s="30"/>
      <c r="G662" s="30"/>
      <c r="I662" s="30"/>
    </row>
    <row r="663" ht="14.25" customHeight="1">
      <c r="C663" s="30"/>
      <c r="E663" s="30"/>
      <c r="G663" s="30"/>
      <c r="I663" s="30"/>
    </row>
    <row r="664" ht="14.25" customHeight="1">
      <c r="C664" s="30"/>
      <c r="E664" s="30"/>
      <c r="G664" s="30"/>
      <c r="I664" s="30"/>
    </row>
    <row r="665" ht="14.25" customHeight="1">
      <c r="C665" s="30"/>
      <c r="E665" s="30"/>
      <c r="G665" s="30"/>
      <c r="I665" s="30"/>
    </row>
    <row r="666" ht="14.25" customHeight="1">
      <c r="C666" s="30"/>
      <c r="E666" s="30"/>
      <c r="G666" s="30"/>
      <c r="I666" s="30"/>
    </row>
    <row r="667" ht="14.25" customHeight="1">
      <c r="C667" s="30"/>
      <c r="E667" s="30"/>
      <c r="G667" s="30"/>
      <c r="I667" s="30"/>
    </row>
    <row r="668" ht="14.25" customHeight="1">
      <c r="C668" s="30"/>
      <c r="E668" s="30"/>
      <c r="G668" s="30"/>
      <c r="I668" s="30"/>
    </row>
    <row r="669" ht="14.25" customHeight="1">
      <c r="C669" s="30"/>
      <c r="E669" s="30"/>
      <c r="G669" s="30"/>
      <c r="I669" s="30"/>
    </row>
    <row r="670" ht="14.25" customHeight="1">
      <c r="C670" s="30"/>
      <c r="E670" s="30"/>
      <c r="G670" s="30"/>
      <c r="I670" s="30"/>
    </row>
    <row r="671" ht="14.25" customHeight="1">
      <c r="C671" s="30"/>
      <c r="E671" s="30"/>
      <c r="G671" s="30"/>
      <c r="I671" s="30"/>
    </row>
    <row r="672" ht="14.25" customHeight="1">
      <c r="C672" s="30"/>
      <c r="E672" s="30"/>
      <c r="G672" s="30"/>
      <c r="I672" s="30"/>
    </row>
    <row r="673" ht="14.25" customHeight="1">
      <c r="C673" s="30"/>
      <c r="E673" s="30"/>
      <c r="G673" s="30"/>
      <c r="I673" s="30"/>
    </row>
    <row r="674" ht="14.25" customHeight="1">
      <c r="C674" s="30"/>
      <c r="E674" s="30"/>
      <c r="G674" s="30"/>
      <c r="I674" s="30"/>
    </row>
    <row r="675" ht="14.25" customHeight="1">
      <c r="C675" s="30"/>
      <c r="E675" s="30"/>
      <c r="G675" s="30"/>
      <c r="I675" s="30"/>
    </row>
    <row r="676" ht="14.25" customHeight="1">
      <c r="C676" s="30"/>
      <c r="E676" s="30"/>
      <c r="G676" s="30"/>
      <c r="I676" s="30"/>
    </row>
    <row r="677" ht="14.25" customHeight="1">
      <c r="C677" s="30"/>
      <c r="E677" s="30"/>
      <c r="G677" s="30"/>
      <c r="I677" s="30"/>
    </row>
    <row r="678" ht="14.25" customHeight="1">
      <c r="C678" s="30"/>
      <c r="E678" s="30"/>
      <c r="G678" s="30"/>
      <c r="I678" s="30"/>
    </row>
    <row r="679" ht="14.25" customHeight="1">
      <c r="C679" s="30"/>
      <c r="E679" s="30"/>
      <c r="G679" s="30"/>
      <c r="I679" s="30"/>
    </row>
    <row r="680" ht="14.25" customHeight="1">
      <c r="C680" s="30"/>
      <c r="E680" s="30"/>
      <c r="G680" s="30"/>
      <c r="I680" s="30"/>
    </row>
    <row r="681" ht="14.25" customHeight="1">
      <c r="C681" s="30"/>
      <c r="E681" s="30"/>
      <c r="G681" s="30"/>
      <c r="I681" s="30"/>
    </row>
    <row r="682" ht="14.25" customHeight="1">
      <c r="C682" s="30"/>
      <c r="E682" s="30"/>
      <c r="G682" s="30"/>
      <c r="I682" s="30"/>
    </row>
    <row r="683" ht="14.25" customHeight="1">
      <c r="C683" s="30"/>
      <c r="E683" s="30"/>
      <c r="G683" s="30"/>
      <c r="I683" s="30"/>
    </row>
    <row r="684" ht="14.25" customHeight="1">
      <c r="C684" s="30"/>
      <c r="E684" s="30"/>
      <c r="G684" s="30"/>
      <c r="I684" s="30"/>
    </row>
    <row r="685" ht="14.25" customHeight="1">
      <c r="C685" s="30"/>
      <c r="E685" s="30"/>
      <c r="G685" s="30"/>
      <c r="I685" s="30"/>
    </row>
    <row r="686" ht="14.25" customHeight="1">
      <c r="C686" s="30"/>
      <c r="E686" s="30"/>
      <c r="G686" s="30"/>
      <c r="I686" s="30"/>
    </row>
    <row r="687" ht="14.25" customHeight="1">
      <c r="C687" s="30"/>
      <c r="E687" s="30"/>
      <c r="G687" s="30"/>
      <c r="I687" s="30"/>
    </row>
    <row r="688" ht="14.25" customHeight="1">
      <c r="C688" s="30"/>
      <c r="E688" s="30"/>
      <c r="G688" s="30"/>
      <c r="I688" s="30"/>
    </row>
    <row r="689" ht="14.25" customHeight="1">
      <c r="C689" s="30"/>
      <c r="E689" s="30"/>
      <c r="G689" s="30"/>
      <c r="I689" s="30"/>
    </row>
    <row r="690" ht="14.25" customHeight="1">
      <c r="C690" s="30"/>
      <c r="E690" s="30"/>
      <c r="G690" s="30"/>
      <c r="I690" s="30"/>
    </row>
    <row r="691" ht="14.25" customHeight="1">
      <c r="C691" s="30"/>
      <c r="E691" s="30"/>
      <c r="G691" s="30"/>
      <c r="I691" s="30"/>
    </row>
    <row r="692" ht="14.25" customHeight="1">
      <c r="C692" s="30"/>
      <c r="E692" s="30"/>
      <c r="G692" s="30"/>
      <c r="I692" s="30"/>
    </row>
    <row r="693" ht="14.25" customHeight="1">
      <c r="C693" s="30"/>
      <c r="E693" s="30"/>
      <c r="G693" s="30"/>
      <c r="I693" s="30"/>
    </row>
    <row r="694" ht="14.25" customHeight="1">
      <c r="C694" s="30"/>
      <c r="E694" s="30"/>
      <c r="G694" s="30"/>
      <c r="I694" s="30"/>
    </row>
    <row r="695" ht="14.25" customHeight="1">
      <c r="C695" s="30"/>
      <c r="E695" s="30"/>
      <c r="G695" s="30"/>
      <c r="I695" s="30"/>
    </row>
    <row r="696" ht="14.25" customHeight="1">
      <c r="C696" s="30"/>
      <c r="E696" s="30"/>
      <c r="G696" s="30"/>
      <c r="I696" s="30"/>
    </row>
    <row r="697" ht="14.25" customHeight="1">
      <c r="C697" s="30"/>
      <c r="E697" s="30"/>
      <c r="G697" s="30"/>
      <c r="I697" s="30"/>
    </row>
    <row r="698" ht="14.25" customHeight="1">
      <c r="C698" s="30"/>
      <c r="E698" s="30"/>
      <c r="G698" s="30"/>
      <c r="I698" s="30"/>
    </row>
    <row r="699" ht="14.25" customHeight="1">
      <c r="C699" s="30"/>
      <c r="E699" s="30"/>
      <c r="G699" s="30"/>
      <c r="I699" s="30"/>
    </row>
    <row r="700" ht="14.25" customHeight="1">
      <c r="C700" s="30"/>
      <c r="E700" s="30"/>
      <c r="G700" s="30"/>
      <c r="I700" s="30"/>
    </row>
    <row r="701" ht="14.25" customHeight="1">
      <c r="C701" s="30"/>
      <c r="E701" s="30"/>
      <c r="G701" s="30"/>
      <c r="I701" s="30"/>
    </row>
    <row r="702" ht="14.25" customHeight="1">
      <c r="C702" s="30"/>
      <c r="E702" s="30"/>
      <c r="G702" s="30"/>
      <c r="I702" s="30"/>
    </row>
    <row r="703" ht="14.25" customHeight="1">
      <c r="C703" s="30"/>
      <c r="E703" s="30"/>
      <c r="G703" s="30"/>
      <c r="I703" s="30"/>
    </row>
    <row r="704" ht="14.25" customHeight="1">
      <c r="C704" s="30"/>
      <c r="E704" s="30"/>
      <c r="G704" s="30"/>
      <c r="I704" s="30"/>
    </row>
    <row r="705" ht="14.25" customHeight="1">
      <c r="C705" s="30"/>
      <c r="E705" s="30"/>
      <c r="G705" s="30"/>
      <c r="I705" s="30"/>
    </row>
    <row r="706" ht="14.25" customHeight="1">
      <c r="C706" s="30"/>
      <c r="E706" s="30"/>
      <c r="G706" s="30"/>
      <c r="I706" s="30"/>
    </row>
    <row r="707" ht="14.25" customHeight="1">
      <c r="C707" s="30"/>
      <c r="E707" s="30"/>
      <c r="G707" s="30"/>
      <c r="I707" s="30"/>
    </row>
    <row r="708" ht="14.25" customHeight="1">
      <c r="C708" s="30"/>
      <c r="E708" s="30"/>
      <c r="G708" s="30"/>
      <c r="I708" s="30"/>
    </row>
    <row r="709" ht="14.25" customHeight="1">
      <c r="C709" s="30"/>
      <c r="E709" s="30"/>
      <c r="G709" s="30"/>
      <c r="I709" s="30"/>
    </row>
    <row r="710" ht="14.25" customHeight="1">
      <c r="C710" s="30"/>
      <c r="E710" s="30"/>
      <c r="G710" s="30"/>
      <c r="I710" s="30"/>
    </row>
    <row r="711" ht="14.25" customHeight="1">
      <c r="C711" s="30"/>
      <c r="E711" s="30"/>
      <c r="G711" s="30"/>
      <c r="I711" s="30"/>
    </row>
    <row r="712" ht="14.25" customHeight="1">
      <c r="C712" s="30"/>
      <c r="E712" s="30"/>
      <c r="G712" s="30"/>
      <c r="I712" s="30"/>
    </row>
    <row r="713" ht="14.25" customHeight="1">
      <c r="C713" s="30"/>
      <c r="E713" s="30"/>
      <c r="G713" s="30"/>
      <c r="I713" s="30"/>
    </row>
    <row r="714" ht="14.25" customHeight="1">
      <c r="C714" s="30"/>
      <c r="E714" s="30"/>
      <c r="G714" s="30"/>
      <c r="I714" s="30"/>
    </row>
    <row r="715" ht="14.25" customHeight="1">
      <c r="C715" s="30"/>
      <c r="E715" s="30"/>
      <c r="G715" s="30"/>
      <c r="I715" s="30"/>
    </row>
    <row r="716" ht="14.25" customHeight="1">
      <c r="C716" s="30"/>
      <c r="E716" s="30"/>
      <c r="G716" s="30"/>
      <c r="I716" s="30"/>
    </row>
    <row r="717" ht="14.25" customHeight="1">
      <c r="C717" s="30"/>
      <c r="E717" s="30"/>
      <c r="G717" s="30"/>
      <c r="I717" s="30"/>
    </row>
    <row r="718" ht="14.25" customHeight="1">
      <c r="C718" s="30"/>
      <c r="E718" s="30"/>
      <c r="G718" s="30"/>
      <c r="I718" s="30"/>
    </row>
    <row r="719" ht="14.25" customHeight="1">
      <c r="C719" s="30"/>
      <c r="E719" s="30"/>
      <c r="G719" s="30"/>
      <c r="I719" s="30"/>
    </row>
    <row r="720" ht="14.25" customHeight="1">
      <c r="C720" s="30"/>
      <c r="E720" s="30"/>
      <c r="G720" s="30"/>
      <c r="I720" s="30"/>
    </row>
    <row r="721" ht="14.25" customHeight="1">
      <c r="C721" s="30"/>
      <c r="E721" s="30"/>
      <c r="G721" s="30"/>
      <c r="I721" s="30"/>
    </row>
    <row r="722" ht="14.25" customHeight="1">
      <c r="C722" s="30"/>
      <c r="E722" s="30"/>
      <c r="G722" s="30"/>
      <c r="I722" s="30"/>
    </row>
    <row r="723" ht="14.25" customHeight="1">
      <c r="C723" s="30"/>
      <c r="E723" s="30"/>
      <c r="G723" s="30"/>
      <c r="I723" s="30"/>
    </row>
    <row r="724" ht="14.25" customHeight="1">
      <c r="C724" s="30"/>
      <c r="E724" s="30"/>
      <c r="G724" s="30"/>
      <c r="I724" s="30"/>
    </row>
    <row r="725" ht="14.25" customHeight="1">
      <c r="C725" s="30"/>
      <c r="E725" s="30"/>
      <c r="G725" s="30"/>
      <c r="I725" s="30"/>
    </row>
    <row r="726" ht="14.25" customHeight="1">
      <c r="C726" s="30"/>
      <c r="E726" s="30"/>
      <c r="G726" s="30"/>
      <c r="I726" s="30"/>
    </row>
    <row r="727" ht="14.25" customHeight="1">
      <c r="C727" s="30"/>
      <c r="E727" s="30"/>
      <c r="G727" s="30"/>
      <c r="I727" s="30"/>
    </row>
    <row r="728" ht="14.25" customHeight="1">
      <c r="C728" s="30"/>
      <c r="E728" s="30"/>
      <c r="G728" s="30"/>
      <c r="I728" s="30"/>
    </row>
    <row r="729" ht="14.25" customHeight="1">
      <c r="C729" s="30"/>
      <c r="E729" s="30"/>
      <c r="G729" s="30"/>
      <c r="I729" s="30"/>
    </row>
    <row r="730" ht="14.25" customHeight="1">
      <c r="C730" s="30"/>
      <c r="E730" s="30"/>
      <c r="G730" s="30"/>
      <c r="I730" s="30"/>
    </row>
    <row r="731" ht="14.25" customHeight="1">
      <c r="C731" s="30"/>
      <c r="E731" s="30"/>
      <c r="G731" s="30"/>
      <c r="I731" s="30"/>
    </row>
    <row r="732" ht="14.25" customHeight="1">
      <c r="C732" s="30"/>
      <c r="E732" s="30"/>
      <c r="G732" s="30"/>
      <c r="I732" s="30"/>
    </row>
    <row r="733" ht="14.25" customHeight="1">
      <c r="C733" s="30"/>
      <c r="E733" s="30"/>
      <c r="G733" s="30"/>
      <c r="I733" s="30"/>
    </row>
    <row r="734" ht="14.25" customHeight="1">
      <c r="C734" s="30"/>
      <c r="E734" s="30"/>
      <c r="G734" s="30"/>
      <c r="I734" s="30"/>
    </row>
    <row r="735" ht="14.25" customHeight="1">
      <c r="C735" s="30"/>
      <c r="E735" s="30"/>
      <c r="G735" s="30"/>
      <c r="I735" s="30"/>
    </row>
    <row r="736" ht="14.25" customHeight="1">
      <c r="C736" s="30"/>
      <c r="E736" s="30"/>
      <c r="G736" s="30"/>
      <c r="I736" s="30"/>
    </row>
    <row r="737" ht="14.25" customHeight="1">
      <c r="C737" s="30"/>
      <c r="E737" s="30"/>
      <c r="G737" s="30"/>
      <c r="I737" s="30"/>
    </row>
    <row r="738" ht="14.25" customHeight="1">
      <c r="C738" s="30"/>
      <c r="E738" s="30"/>
      <c r="G738" s="30"/>
      <c r="I738" s="30"/>
    </row>
    <row r="739" ht="14.25" customHeight="1">
      <c r="C739" s="30"/>
      <c r="E739" s="30"/>
      <c r="G739" s="30"/>
      <c r="I739" s="30"/>
    </row>
    <row r="740" ht="14.25" customHeight="1">
      <c r="C740" s="30"/>
      <c r="E740" s="30"/>
      <c r="G740" s="30"/>
      <c r="I740" s="30"/>
    </row>
    <row r="741" ht="14.25" customHeight="1">
      <c r="C741" s="30"/>
      <c r="E741" s="30"/>
      <c r="G741" s="30"/>
      <c r="I741" s="30"/>
    </row>
    <row r="742" ht="14.25" customHeight="1">
      <c r="C742" s="30"/>
      <c r="E742" s="30"/>
      <c r="G742" s="30"/>
      <c r="I742" s="30"/>
    </row>
    <row r="743" ht="14.25" customHeight="1">
      <c r="C743" s="30"/>
      <c r="E743" s="30"/>
      <c r="G743" s="30"/>
      <c r="I743" s="30"/>
    </row>
    <row r="744" ht="14.25" customHeight="1">
      <c r="C744" s="30"/>
      <c r="E744" s="30"/>
      <c r="G744" s="30"/>
      <c r="I744" s="30"/>
    </row>
    <row r="745" ht="14.25" customHeight="1">
      <c r="C745" s="30"/>
      <c r="E745" s="30"/>
      <c r="G745" s="30"/>
      <c r="I745" s="30"/>
    </row>
    <row r="746" ht="14.25" customHeight="1">
      <c r="C746" s="30"/>
      <c r="E746" s="30"/>
      <c r="G746" s="30"/>
      <c r="I746" s="30"/>
    </row>
    <row r="747" ht="14.25" customHeight="1">
      <c r="C747" s="30"/>
      <c r="E747" s="30"/>
      <c r="G747" s="30"/>
      <c r="I747" s="30"/>
    </row>
    <row r="748" ht="14.25" customHeight="1">
      <c r="C748" s="30"/>
      <c r="E748" s="30"/>
      <c r="G748" s="30"/>
      <c r="I748" s="30"/>
    </row>
    <row r="749" ht="14.25" customHeight="1">
      <c r="C749" s="30"/>
      <c r="E749" s="30"/>
      <c r="G749" s="30"/>
      <c r="I749" s="30"/>
    </row>
    <row r="750" ht="14.25" customHeight="1">
      <c r="C750" s="30"/>
      <c r="E750" s="30"/>
      <c r="G750" s="30"/>
      <c r="I750" s="30"/>
    </row>
    <row r="751" ht="14.25" customHeight="1">
      <c r="C751" s="30"/>
      <c r="E751" s="30"/>
      <c r="G751" s="30"/>
      <c r="I751" s="30"/>
    </row>
    <row r="752" ht="14.25" customHeight="1">
      <c r="C752" s="30"/>
      <c r="E752" s="30"/>
      <c r="G752" s="30"/>
      <c r="I752" s="30"/>
    </row>
    <row r="753" ht="14.25" customHeight="1">
      <c r="C753" s="30"/>
      <c r="E753" s="30"/>
      <c r="G753" s="30"/>
      <c r="I753" s="30"/>
    </row>
    <row r="754" ht="14.25" customHeight="1">
      <c r="C754" s="30"/>
      <c r="E754" s="30"/>
      <c r="G754" s="30"/>
      <c r="I754" s="30"/>
    </row>
    <row r="755" ht="14.25" customHeight="1">
      <c r="C755" s="30"/>
      <c r="E755" s="30"/>
      <c r="G755" s="30"/>
      <c r="I755" s="30"/>
    </row>
    <row r="756" ht="14.25" customHeight="1">
      <c r="C756" s="30"/>
      <c r="E756" s="30"/>
      <c r="G756" s="30"/>
      <c r="I756" s="30"/>
    </row>
    <row r="757" ht="14.25" customHeight="1">
      <c r="C757" s="30"/>
      <c r="E757" s="30"/>
      <c r="G757" s="30"/>
      <c r="I757" s="30"/>
    </row>
    <row r="758" ht="14.25" customHeight="1">
      <c r="C758" s="30"/>
      <c r="E758" s="30"/>
      <c r="G758" s="30"/>
      <c r="I758" s="30"/>
    </row>
    <row r="759" ht="14.25" customHeight="1">
      <c r="C759" s="30"/>
      <c r="E759" s="30"/>
      <c r="G759" s="30"/>
      <c r="I759" s="30"/>
    </row>
    <row r="760" ht="14.25" customHeight="1">
      <c r="C760" s="30"/>
      <c r="E760" s="30"/>
      <c r="G760" s="30"/>
      <c r="I760" s="30"/>
    </row>
    <row r="761" ht="14.25" customHeight="1">
      <c r="C761" s="30"/>
      <c r="E761" s="30"/>
      <c r="G761" s="30"/>
      <c r="I761" s="30"/>
    </row>
    <row r="762" ht="14.25" customHeight="1">
      <c r="C762" s="30"/>
      <c r="E762" s="30"/>
      <c r="G762" s="30"/>
      <c r="I762" s="30"/>
    </row>
    <row r="763" ht="14.25" customHeight="1">
      <c r="C763" s="30"/>
      <c r="E763" s="30"/>
      <c r="G763" s="30"/>
      <c r="I763" s="30"/>
    </row>
    <row r="764" ht="14.25" customHeight="1">
      <c r="C764" s="30"/>
      <c r="E764" s="30"/>
      <c r="G764" s="30"/>
      <c r="I764" s="30"/>
    </row>
    <row r="765" ht="14.25" customHeight="1">
      <c r="C765" s="30"/>
      <c r="E765" s="30"/>
      <c r="G765" s="30"/>
      <c r="I765" s="30"/>
    </row>
    <row r="766" ht="14.25" customHeight="1">
      <c r="C766" s="30"/>
      <c r="E766" s="30"/>
      <c r="G766" s="30"/>
      <c r="I766" s="30"/>
    </row>
    <row r="767" ht="14.25" customHeight="1">
      <c r="C767" s="30"/>
      <c r="E767" s="30"/>
      <c r="G767" s="30"/>
      <c r="I767" s="30"/>
    </row>
    <row r="768" ht="14.25" customHeight="1">
      <c r="C768" s="30"/>
      <c r="E768" s="30"/>
      <c r="G768" s="30"/>
      <c r="I768" s="30"/>
    </row>
    <row r="769" ht="14.25" customHeight="1">
      <c r="C769" s="30"/>
      <c r="E769" s="30"/>
      <c r="G769" s="30"/>
      <c r="I769" s="30"/>
    </row>
    <row r="770" ht="14.25" customHeight="1">
      <c r="C770" s="30"/>
      <c r="E770" s="30"/>
      <c r="G770" s="30"/>
      <c r="I770" s="30"/>
    </row>
    <row r="771" ht="14.25" customHeight="1">
      <c r="C771" s="30"/>
      <c r="E771" s="30"/>
      <c r="G771" s="30"/>
      <c r="I771" s="30"/>
    </row>
    <row r="772" ht="14.25" customHeight="1">
      <c r="C772" s="30"/>
      <c r="E772" s="30"/>
      <c r="G772" s="30"/>
      <c r="I772" s="30"/>
    </row>
    <row r="773" ht="14.25" customHeight="1">
      <c r="C773" s="30"/>
      <c r="E773" s="30"/>
      <c r="G773" s="30"/>
      <c r="I773" s="30"/>
    </row>
    <row r="774" ht="14.25" customHeight="1">
      <c r="C774" s="30"/>
      <c r="E774" s="30"/>
      <c r="G774" s="30"/>
      <c r="I774" s="30"/>
    </row>
    <row r="775" ht="14.25" customHeight="1">
      <c r="C775" s="30"/>
      <c r="E775" s="30"/>
      <c r="G775" s="30"/>
      <c r="I775" s="30"/>
    </row>
    <row r="776" ht="14.25" customHeight="1">
      <c r="C776" s="30"/>
      <c r="E776" s="30"/>
      <c r="G776" s="30"/>
      <c r="I776" s="30"/>
    </row>
    <row r="777" ht="14.25" customHeight="1">
      <c r="C777" s="30"/>
      <c r="E777" s="30"/>
      <c r="G777" s="30"/>
      <c r="I777" s="30"/>
    </row>
    <row r="778" ht="14.25" customHeight="1">
      <c r="C778" s="30"/>
      <c r="E778" s="30"/>
      <c r="G778" s="30"/>
      <c r="I778" s="30"/>
    </row>
    <row r="779" ht="14.25" customHeight="1">
      <c r="C779" s="30"/>
      <c r="E779" s="30"/>
      <c r="G779" s="30"/>
      <c r="I779" s="30"/>
    </row>
    <row r="780" ht="14.25" customHeight="1">
      <c r="C780" s="30"/>
      <c r="E780" s="30"/>
      <c r="G780" s="30"/>
      <c r="I780" s="30"/>
    </row>
    <row r="781" ht="14.25" customHeight="1">
      <c r="C781" s="30"/>
      <c r="E781" s="30"/>
      <c r="G781" s="30"/>
      <c r="I781" s="30"/>
    </row>
    <row r="782" ht="14.25" customHeight="1">
      <c r="C782" s="30"/>
      <c r="E782" s="30"/>
      <c r="G782" s="30"/>
      <c r="I782" s="30"/>
    </row>
    <row r="783" ht="14.25" customHeight="1">
      <c r="C783" s="30"/>
      <c r="E783" s="30"/>
      <c r="G783" s="30"/>
      <c r="I783" s="30"/>
    </row>
    <row r="784" ht="14.25" customHeight="1">
      <c r="C784" s="30"/>
      <c r="E784" s="30"/>
      <c r="G784" s="30"/>
      <c r="I784" s="30"/>
    </row>
    <row r="785" ht="14.25" customHeight="1">
      <c r="C785" s="30"/>
      <c r="E785" s="30"/>
      <c r="G785" s="30"/>
      <c r="I785" s="30"/>
    </row>
    <row r="786" ht="14.25" customHeight="1">
      <c r="C786" s="30"/>
      <c r="E786" s="30"/>
      <c r="G786" s="30"/>
      <c r="I786" s="30"/>
    </row>
    <row r="787" ht="14.25" customHeight="1">
      <c r="C787" s="30"/>
      <c r="E787" s="30"/>
      <c r="G787" s="30"/>
      <c r="I787" s="30"/>
    </row>
    <row r="788" ht="14.25" customHeight="1">
      <c r="C788" s="30"/>
      <c r="E788" s="30"/>
      <c r="G788" s="30"/>
      <c r="I788" s="30"/>
    </row>
    <row r="789" ht="14.25" customHeight="1">
      <c r="C789" s="30"/>
      <c r="E789" s="30"/>
      <c r="G789" s="30"/>
      <c r="I789" s="30"/>
    </row>
    <row r="790" ht="14.25" customHeight="1">
      <c r="C790" s="30"/>
      <c r="E790" s="30"/>
      <c r="G790" s="30"/>
      <c r="I790" s="30"/>
    </row>
    <row r="791" ht="14.25" customHeight="1">
      <c r="C791" s="30"/>
      <c r="E791" s="30"/>
      <c r="G791" s="30"/>
      <c r="I791" s="30"/>
    </row>
    <row r="792" ht="14.25" customHeight="1">
      <c r="C792" s="30"/>
      <c r="E792" s="30"/>
      <c r="G792" s="30"/>
      <c r="I792" s="30"/>
    </row>
    <row r="793" ht="14.25" customHeight="1">
      <c r="C793" s="30"/>
      <c r="E793" s="30"/>
      <c r="G793" s="30"/>
      <c r="I793" s="30"/>
    </row>
    <row r="794" ht="14.25" customHeight="1">
      <c r="C794" s="30"/>
      <c r="E794" s="30"/>
      <c r="G794" s="30"/>
      <c r="I794" s="30"/>
    </row>
    <row r="795" ht="14.25" customHeight="1">
      <c r="C795" s="30"/>
      <c r="E795" s="30"/>
      <c r="G795" s="30"/>
      <c r="I795" s="30"/>
    </row>
    <row r="796" ht="14.25" customHeight="1">
      <c r="C796" s="30"/>
      <c r="E796" s="30"/>
      <c r="G796" s="30"/>
      <c r="I796" s="30"/>
    </row>
    <row r="797" ht="14.25" customHeight="1">
      <c r="C797" s="30"/>
      <c r="E797" s="30"/>
      <c r="G797" s="30"/>
      <c r="I797" s="30"/>
    </row>
    <row r="798" ht="14.25" customHeight="1">
      <c r="C798" s="30"/>
      <c r="E798" s="30"/>
      <c r="G798" s="30"/>
      <c r="I798" s="30"/>
    </row>
    <row r="799" ht="14.25" customHeight="1">
      <c r="C799" s="30"/>
      <c r="E799" s="30"/>
      <c r="G799" s="30"/>
      <c r="I799" s="30"/>
    </row>
    <row r="800" ht="14.25" customHeight="1">
      <c r="C800" s="30"/>
      <c r="E800" s="30"/>
      <c r="G800" s="30"/>
      <c r="I800" s="30"/>
    </row>
    <row r="801" ht="14.25" customHeight="1">
      <c r="C801" s="30"/>
      <c r="E801" s="30"/>
      <c r="G801" s="30"/>
      <c r="I801" s="30"/>
    </row>
    <row r="802" ht="14.25" customHeight="1">
      <c r="C802" s="30"/>
      <c r="E802" s="30"/>
      <c r="G802" s="30"/>
      <c r="I802" s="30"/>
    </row>
    <row r="803" ht="14.25" customHeight="1">
      <c r="C803" s="30"/>
      <c r="E803" s="30"/>
      <c r="G803" s="30"/>
      <c r="I803" s="30"/>
    </row>
    <row r="804" ht="14.25" customHeight="1">
      <c r="C804" s="30"/>
      <c r="E804" s="30"/>
      <c r="G804" s="30"/>
      <c r="I804" s="30"/>
    </row>
    <row r="805" ht="14.25" customHeight="1">
      <c r="C805" s="30"/>
      <c r="E805" s="30"/>
      <c r="G805" s="30"/>
      <c r="I805" s="30"/>
    </row>
    <row r="806" ht="14.25" customHeight="1">
      <c r="C806" s="30"/>
      <c r="E806" s="30"/>
      <c r="G806" s="30"/>
      <c r="I806" s="30"/>
    </row>
    <row r="807" ht="14.25" customHeight="1">
      <c r="C807" s="30"/>
      <c r="E807" s="30"/>
      <c r="G807" s="30"/>
      <c r="I807" s="30"/>
    </row>
    <row r="808" ht="14.25" customHeight="1">
      <c r="C808" s="30"/>
      <c r="E808" s="30"/>
      <c r="G808" s="30"/>
      <c r="I808" s="30"/>
    </row>
    <row r="809" ht="14.25" customHeight="1">
      <c r="C809" s="30"/>
      <c r="E809" s="30"/>
      <c r="G809" s="30"/>
      <c r="I809" s="30"/>
    </row>
    <row r="810" ht="14.25" customHeight="1">
      <c r="C810" s="30"/>
      <c r="E810" s="30"/>
      <c r="G810" s="30"/>
      <c r="I810" s="30"/>
    </row>
    <row r="811" ht="14.25" customHeight="1">
      <c r="C811" s="30"/>
      <c r="E811" s="30"/>
      <c r="G811" s="30"/>
      <c r="I811" s="30"/>
    </row>
    <row r="812" ht="14.25" customHeight="1">
      <c r="C812" s="30"/>
      <c r="E812" s="30"/>
      <c r="G812" s="30"/>
      <c r="I812" s="30"/>
    </row>
    <row r="813" ht="14.25" customHeight="1">
      <c r="C813" s="30"/>
      <c r="E813" s="30"/>
      <c r="G813" s="30"/>
      <c r="I813" s="30"/>
    </row>
    <row r="814" ht="14.25" customHeight="1">
      <c r="C814" s="30"/>
      <c r="E814" s="30"/>
      <c r="G814" s="30"/>
      <c r="I814" s="30"/>
    </row>
    <row r="815" ht="14.25" customHeight="1">
      <c r="C815" s="30"/>
      <c r="E815" s="30"/>
      <c r="G815" s="30"/>
      <c r="I815" s="30"/>
    </row>
    <row r="816" ht="14.25" customHeight="1">
      <c r="C816" s="30"/>
      <c r="E816" s="30"/>
      <c r="G816" s="30"/>
      <c r="I816" s="30"/>
    </row>
    <row r="817" ht="14.25" customHeight="1">
      <c r="C817" s="30"/>
      <c r="E817" s="30"/>
      <c r="G817" s="30"/>
      <c r="I817" s="30"/>
    </row>
    <row r="818" ht="14.25" customHeight="1">
      <c r="C818" s="30"/>
      <c r="E818" s="30"/>
      <c r="G818" s="30"/>
      <c r="I818" s="30"/>
    </row>
    <row r="819" ht="14.25" customHeight="1">
      <c r="C819" s="30"/>
      <c r="E819" s="30"/>
      <c r="G819" s="30"/>
      <c r="I819" s="30"/>
    </row>
    <row r="820" ht="14.25" customHeight="1">
      <c r="C820" s="30"/>
      <c r="E820" s="30"/>
      <c r="G820" s="30"/>
      <c r="I820" s="30"/>
    </row>
    <row r="821" ht="14.25" customHeight="1">
      <c r="C821" s="30"/>
      <c r="E821" s="30"/>
      <c r="G821" s="30"/>
      <c r="I821" s="30"/>
    </row>
    <row r="822" ht="14.25" customHeight="1">
      <c r="C822" s="30"/>
      <c r="E822" s="30"/>
      <c r="G822" s="30"/>
      <c r="I822" s="30"/>
    </row>
    <row r="823" ht="14.25" customHeight="1">
      <c r="C823" s="30"/>
      <c r="E823" s="30"/>
      <c r="G823" s="30"/>
      <c r="I823" s="30"/>
    </row>
    <row r="824" ht="14.25" customHeight="1">
      <c r="C824" s="30"/>
      <c r="E824" s="30"/>
      <c r="G824" s="30"/>
      <c r="I824" s="30"/>
    </row>
    <row r="825" ht="14.25" customHeight="1">
      <c r="C825" s="30"/>
      <c r="E825" s="30"/>
      <c r="G825" s="30"/>
      <c r="I825" s="30"/>
    </row>
    <row r="826" ht="14.25" customHeight="1">
      <c r="C826" s="30"/>
      <c r="E826" s="30"/>
      <c r="G826" s="30"/>
      <c r="I826" s="30"/>
    </row>
    <row r="827" ht="14.25" customHeight="1">
      <c r="C827" s="30"/>
      <c r="E827" s="30"/>
      <c r="G827" s="30"/>
      <c r="I827" s="30"/>
    </row>
    <row r="828" ht="14.25" customHeight="1">
      <c r="C828" s="30"/>
      <c r="E828" s="30"/>
      <c r="G828" s="30"/>
      <c r="I828" s="30"/>
    </row>
    <row r="829" ht="14.25" customHeight="1">
      <c r="C829" s="30"/>
      <c r="E829" s="30"/>
      <c r="G829" s="30"/>
      <c r="I829" s="30"/>
    </row>
    <row r="830" ht="14.25" customHeight="1">
      <c r="C830" s="30"/>
      <c r="E830" s="30"/>
      <c r="G830" s="30"/>
      <c r="I830" s="30"/>
    </row>
    <row r="831" ht="14.25" customHeight="1">
      <c r="C831" s="30"/>
      <c r="E831" s="30"/>
      <c r="G831" s="30"/>
      <c r="I831" s="30"/>
    </row>
    <row r="832" ht="14.25" customHeight="1">
      <c r="C832" s="30"/>
      <c r="E832" s="30"/>
      <c r="G832" s="30"/>
      <c r="I832" s="30"/>
    </row>
    <row r="833" ht="14.25" customHeight="1">
      <c r="C833" s="30"/>
      <c r="E833" s="30"/>
      <c r="G833" s="30"/>
      <c r="I833" s="30"/>
    </row>
    <row r="834" ht="14.25" customHeight="1">
      <c r="C834" s="30"/>
      <c r="E834" s="30"/>
      <c r="G834" s="30"/>
      <c r="I834" s="30"/>
    </row>
    <row r="835" ht="14.25" customHeight="1">
      <c r="C835" s="30"/>
      <c r="E835" s="30"/>
      <c r="G835" s="30"/>
      <c r="I835" s="30"/>
    </row>
    <row r="836" ht="14.25" customHeight="1">
      <c r="C836" s="30"/>
      <c r="E836" s="30"/>
      <c r="G836" s="30"/>
      <c r="I836" s="30"/>
    </row>
    <row r="837" ht="14.25" customHeight="1">
      <c r="C837" s="30"/>
      <c r="E837" s="30"/>
      <c r="G837" s="30"/>
      <c r="I837" s="30"/>
    </row>
    <row r="838" ht="14.25" customHeight="1">
      <c r="C838" s="30"/>
      <c r="E838" s="30"/>
      <c r="G838" s="30"/>
      <c r="I838" s="30"/>
    </row>
    <row r="839" ht="14.25" customHeight="1">
      <c r="C839" s="30"/>
      <c r="E839" s="30"/>
      <c r="G839" s="30"/>
      <c r="I839" s="30"/>
    </row>
    <row r="840" ht="14.25" customHeight="1">
      <c r="C840" s="30"/>
      <c r="E840" s="30"/>
      <c r="G840" s="30"/>
      <c r="I840" s="30"/>
    </row>
    <row r="841" ht="14.25" customHeight="1">
      <c r="C841" s="30"/>
      <c r="E841" s="30"/>
      <c r="G841" s="30"/>
      <c r="I841" s="30"/>
    </row>
    <row r="842" ht="14.25" customHeight="1">
      <c r="C842" s="30"/>
      <c r="E842" s="30"/>
      <c r="G842" s="30"/>
      <c r="I842" s="30"/>
    </row>
    <row r="843" ht="14.25" customHeight="1">
      <c r="C843" s="30"/>
      <c r="E843" s="30"/>
      <c r="G843" s="30"/>
      <c r="I843" s="30"/>
    </row>
    <row r="844" ht="14.25" customHeight="1">
      <c r="C844" s="30"/>
      <c r="E844" s="30"/>
      <c r="G844" s="30"/>
      <c r="I844" s="30"/>
    </row>
    <row r="845" ht="14.25" customHeight="1">
      <c r="C845" s="30"/>
      <c r="E845" s="30"/>
      <c r="G845" s="30"/>
      <c r="I845" s="30"/>
    </row>
    <row r="846" ht="14.25" customHeight="1">
      <c r="C846" s="30"/>
      <c r="E846" s="30"/>
      <c r="G846" s="30"/>
      <c r="I846" s="30"/>
    </row>
    <row r="847" ht="14.25" customHeight="1">
      <c r="C847" s="30"/>
      <c r="E847" s="30"/>
      <c r="G847" s="30"/>
      <c r="I847" s="30"/>
    </row>
    <row r="848" ht="14.25" customHeight="1">
      <c r="C848" s="30"/>
      <c r="E848" s="30"/>
      <c r="G848" s="30"/>
      <c r="I848" s="30"/>
    </row>
    <row r="849" ht="14.25" customHeight="1">
      <c r="C849" s="30"/>
      <c r="E849" s="30"/>
      <c r="G849" s="30"/>
      <c r="I849" s="30"/>
    </row>
    <row r="850" ht="14.25" customHeight="1">
      <c r="C850" s="30"/>
      <c r="E850" s="30"/>
      <c r="G850" s="30"/>
      <c r="I850" s="30"/>
    </row>
    <row r="851" ht="14.25" customHeight="1">
      <c r="C851" s="30"/>
      <c r="E851" s="30"/>
      <c r="G851" s="30"/>
      <c r="I851" s="30"/>
    </row>
    <row r="852" ht="14.25" customHeight="1">
      <c r="C852" s="30"/>
      <c r="E852" s="30"/>
      <c r="G852" s="30"/>
      <c r="I852" s="30"/>
    </row>
    <row r="853" ht="14.25" customHeight="1">
      <c r="C853" s="30"/>
      <c r="E853" s="30"/>
      <c r="G853" s="30"/>
      <c r="I853" s="30"/>
    </row>
    <row r="854" ht="14.25" customHeight="1">
      <c r="C854" s="30"/>
      <c r="E854" s="30"/>
      <c r="G854" s="30"/>
      <c r="I854" s="30"/>
    </row>
    <row r="855" ht="14.25" customHeight="1">
      <c r="C855" s="30"/>
      <c r="E855" s="30"/>
      <c r="G855" s="30"/>
      <c r="I855" s="30"/>
    </row>
    <row r="856" ht="14.25" customHeight="1">
      <c r="C856" s="30"/>
      <c r="E856" s="30"/>
      <c r="G856" s="30"/>
      <c r="I856" s="30"/>
    </row>
    <row r="857" ht="14.25" customHeight="1">
      <c r="C857" s="30"/>
      <c r="E857" s="30"/>
      <c r="G857" s="30"/>
      <c r="I857" s="30"/>
    </row>
    <row r="858" ht="14.25" customHeight="1">
      <c r="C858" s="30"/>
      <c r="E858" s="30"/>
      <c r="G858" s="30"/>
      <c r="I858" s="30"/>
    </row>
    <row r="859" ht="14.25" customHeight="1">
      <c r="C859" s="30"/>
      <c r="E859" s="30"/>
      <c r="G859" s="30"/>
      <c r="I859" s="30"/>
    </row>
    <row r="860" ht="14.25" customHeight="1">
      <c r="C860" s="30"/>
      <c r="E860" s="30"/>
      <c r="G860" s="30"/>
      <c r="I860" s="30"/>
    </row>
    <row r="861" ht="14.25" customHeight="1">
      <c r="C861" s="30"/>
      <c r="E861" s="30"/>
      <c r="G861" s="30"/>
      <c r="I861" s="30"/>
    </row>
    <row r="862" ht="14.25" customHeight="1">
      <c r="C862" s="30"/>
      <c r="E862" s="30"/>
      <c r="G862" s="30"/>
      <c r="I862" s="30"/>
    </row>
    <row r="863" ht="14.25" customHeight="1">
      <c r="C863" s="30"/>
      <c r="E863" s="30"/>
      <c r="G863" s="30"/>
      <c r="I863" s="30"/>
    </row>
    <row r="864" ht="14.25" customHeight="1">
      <c r="C864" s="30"/>
      <c r="E864" s="30"/>
      <c r="G864" s="30"/>
      <c r="I864" s="30"/>
    </row>
    <row r="865" ht="14.25" customHeight="1">
      <c r="C865" s="30"/>
      <c r="E865" s="30"/>
      <c r="G865" s="30"/>
      <c r="I865" s="30"/>
    </row>
    <row r="866" ht="14.25" customHeight="1">
      <c r="C866" s="30"/>
      <c r="E866" s="30"/>
      <c r="G866" s="30"/>
      <c r="I866" s="30"/>
    </row>
    <row r="867" ht="14.25" customHeight="1">
      <c r="C867" s="30"/>
      <c r="E867" s="30"/>
      <c r="G867" s="30"/>
      <c r="I867" s="30"/>
    </row>
    <row r="868" ht="14.25" customHeight="1">
      <c r="C868" s="30"/>
      <c r="E868" s="30"/>
      <c r="G868" s="30"/>
      <c r="I868" s="30"/>
    </row>
    <row r="869" ht="14.25" customHeight="1">
      <c r="C869" s="30"/>
      <c r="E869" s="30"/>
      <c r="G869" s="30"/>
      <c r="I869" s="30"/>
    </row>
    <row r="870" ht="14.25" customHeight="1">
      <c r="C870" s="30"/>
      <c r="E870" s="30"/>
      <c r="G870" s="30"/>
      <c r="I870" s="30"/>
    </row>
    <row r="871" ht="14.25" customHeight="1">
      <c r="C871" s="30"/>
      <c r="E871" s="30"/>
      <c r="G871" s="30"/>
      <c r="I871" s="30"/>
    </row>
    <row r="872" ht="14.25" customHeight="1">
      <c r="C872" s="30"/>
      <c r="E872" s="30"/>
      <c r="G872" s="30"/>
      <c r="I872" s="30"/>
    </row>
    <row r="873" ht="14.25" customHeight="1">
      <c r="C873" s="30"/>
      <c r="E873" s="30"/>
      <c r="G873" s="30"/>
      <c r="I873" s="30"/>
    </row>
    <row r="874" ht="14.25" customHeight="1">
      <c r="C874" s="30"/>
      <c r="E874" s="30"/>
      <c r="G874" s="30"/>
      <c r="I874" s="30"/>
    </row>
    <row r="875" ht="14.25" customHeight="1">
      <c r="C875" s="30"/>
      <c r="E875" s="30"/>
      <c r="G875" s="30"/>
      <c r="I875" s="30"/>
    </row>
    <row r="876" ht="14.25" customHeight="1">
      <c r="C876" s="30"/>
      <c r="E876" s="30"/>
      <c r="G876" s="30"/>
      <c r="I876" s="30"/>
    </row>
    <row r="877" ht="14.25" customHeight="1">
      <c r="C877" s="30"/>
      <c r="E877" s="30"/>
      <c r="G877" s="30"/>
      <c r="I877" s="30"/>
    </row>
    <row r="878" ht="14.25" customHeight="1">
      <c r="C878" s="30"/>
      <c r="E878" s="30"/>
      <c r="G878" s="30"/>
      <c r="I878" s="30"/>
    </row>
    <row r="879" ht="14.25" customHeight="1">
      <c r="C879" s="30"/>
      <c r="E879" s="30"/>
      <c r="G879" s="30"/>
      <c r="I879" s="30"/>
    </row>
    <row r="880" ht="14.25" customHeight="1">
      <c r="C880" s="30"/>
      <c r="E880" s="30"/>
      <c r="G880" s="30"/>
      <c r="I880" s="30"/>
    </row>
    <row r="881" ht="14.25" customHeight="1">
      <c r="C881" s="30"/>
      <c r="E881" s="30"/>
      <c r="G881" s="30"/>
      <c r="I881" s="30"/>
    </row>
    <row r="882" ht="14.25" customHeight="1">
      <c r="C882" s="30"/>
      <c r="E882" s="30"/>
      <c r="G882" s="30"/>
      <c r="I882" s="30"/>
    </row>
    <row r="883" ht="14.25" customHeight="1">
      <c r="C883" s="30"/>
      <c r="E883" s="30"/>
      <c r="G883" s="30"/>
      <c r="I883" s="30"/>
    </row>
    <row r="884" ht="14.25" customHeight="1">
      <c r="C884" s="30"/>
      <c r="E884" s="30"/>
      <c r="G884" s="30"/>
      <c r="I884" s="30"/>
    </row>
    <row r="885" ht="14.25" customHeight="1">
      <c r="C885" s="30"/>
      <c r="E885" s="30"/>
      <c r="G885" s="30"/>
      <c r="I885" s="30"/>
    </row>
    <row r="886" ht="14.25" customHeight="1">
      <c r="C886" s="30"/>
      <c r="E886" s="30"/>
      <c r="G886" s="30"/>
      <c r="I886" s="30"/>
    </row>
    <row r="887" ht="14.25" customHeight="1">
      <c r="C887" s="30"/>
      <c r="E887" s="30"/>
      <c r="G887" s="30"/>
      <c r="I887" s="30"/>
    </row>
    <row r="888" ht="14.25" customHeight="1">
      <c r="C888" s="30"/>
      <c r="E888" s="30"/>
      <c r="G888" s="30"/>
      <c r="I888" s="30"/>
    </row>
    <row r="889" ht="14.25" customHeight="1">
      <c r="C889" s="30"/>
      <c r="E889" s="30"/>
      <c r="G889" s="30"/>
      <c r="I889" s="30"/>
    </row>
    <row r="890" ht="14.25" customHeight="1">
      <c r="C890" s="30"/>
      <c r="E890" s="30"/>
      <c r="G890" s="30"/>
      <c r="I890" s="30"/>
    </row>
    <row r="891" ht="14.25" customHeight="1">
      <c r="C891" s="30"/>
      <c r="E891" s="30"/>
      <c r="G891" s="30"/>
      <c r="I891" s="30"/>
    </row>
    <row r="892" ht="14.25" customHeight="1">
      <c r="C892" s="30"/>
      <c r="E892" s="30"/>
      <c r="G892" s="30"/>
      <c r="I892" s="30"/>
    </row>
    <row r="893" ht="14.25" customHeight="1">
      <c r="C893" s="30"/>
      <c r="E893" s="30"/>
      <c r="G893" s="30"/>
      <c r="I893" s="30"/>
    </row>
    <row r="894" ht="14.25" customHeight="1">
      <c r="C894" s="30"/>
      <c r="E894" s="30"/>
      <c r="G894" s="30"/>
      <c r="I894" s="30"/>
    </row>
    <row r="895" ht="14.25" customHeight="1">
      <c r="C895" s="30"/>
      <c r="E895" s="30"/>
      <c r="G895" s="30"/>
      <c r="I895" s="30"/>
    </row>
    <row r="896" ht="14.25" customHeight="1">
      <c r="C896" s="30"/>
      <c r="E896" s="30"/>
      <c r="G896" s="30"/>
      <c r="I896" s="30"/>
    </row>
    <row r="897" ht="14.25" customHeight="1">
      <c r="C897" s="30"/>
      <c r="E897" s="30"/>
      <c r="G897" s="30"/>
      <c r="I897" s="30"/>
    </row>
    <row r="898" ht="14.25" customHeight="1">
      <c r="C898" s="30"/>
      <c r="E898" s="30"/>
      <c r="G898" s="30"/>
      <c r="I898" s="30"/>
    </row>
    <row r="899" ht="14.25" customHeight="1">
      <c r="C899" s="30"/>
      <c r="E899" s="30"/>
      <c r="G899" s="30"/>
      <c r="I899" s="30"/>
    </row>
    <row r="900" ht="14.25" customHeight="1">
      <c r="C900" s="30"/>
      <c r="E900" s="30"/>
      <c r="G900" s="30"/>
      <c r="I900" s="30"/>
    </row>
    <row r="901" ht="14.25" customHeight="1">
      <c r="C901" s="30"/>
      <c r="E901" s="30"/>
      <c r="G901" s="30"/>
      <c r="I901" s="30"/>
    </row>
    <row r="902" ht="14.25" customHeight="1">
      <c r="C902" s="30"/>
      <c r="E902" s="30"/>
      <c r="G902" s="30"/>
      <c r="I902" s="30"/>
    </row>
    <row r="903" ht="14.25" customHeight="1">
      <c r="C903" s="30"/>
      <c r="E903" s="30"/>
      <c r="G903" s="30"/>
      <c r="I903" s="30"/>
    </row>
    <row r="904" ht="14.25" customHeight="1">
      <c r="C904" s="30"/>
      <c r="E904" s="30"/>
      <c r="G904" s="30"/>
      <c r="I904" s="30"/>
    </row>
    <row r="905" ht="14.25" customHeight="1">
      <c r="C905" s="30"/>
      <c r="E905" s="30"/>
      <c r="G905" s="30"/>
      <c r="I905" s="30"/>
    </row>
    <row r="906" ht="14.25" customHeight="1">
      <c r="C906" s="30"/>
      <c r="E906" s="30"/>
      <c r="G906" s="30"/>
      <c r="I906" s="30"/>
    </row>
    <row r="907" ht="14.25" customHeight="1">
      <c r="C907" s="30"/>
      <c r="E907" s="30"/>
      <c r="G907" s="30"/>
      <c r="I907" s="30"/>
    </row>
    <row r="908" ht="14.25" customHeight="1">
      <c r="C908" s="30"/>
      <c r="E908" s="30"/>
      <c r="G908" s="30"/>
      <c r="I908" s="30"/>
    </row>
    <row r="909" ht="14.25" customHeight="1">
      <c r="C909" s="30"/>
      <c r="E909" s="30"/>
      <c r="G909" s="30"/>
      <c r="I909" s="30"/>
    </row>
    <row r="910" ht="14.25" customHeight="1">
      <c r="C910" s="30"/>
      <c r="E910" s="30"/>
      <c r="G910" s="30"/>
      <c r="I910" s="30"/>
    </row>
    <row r="911" ht="14.25" customHeight="1">
      <c r="C911" s="30"/>
      <c r="E911" s="30"/>
      <c r="G911" s="30"/>
      <c r="I911" s="30"/>
    </row>
    <row r="912" ht="14.25" customHeight="1">
      <c r="C912" s="30"/>
      <c r="E912" s="30"/>
      <c r="G912" s="30"/>
      <c r="I912" s="30"/>
    </row>
    <row r="913" ht="14.25" customHeight="1">
      <c r="C913" s="30"/>
      <c r="E913" s="30"/>
      <c r="G913" s="30"/>
      <c r="I913" s="30"/>
    </row>
    <row r="914" ht="14.25" customHeight="1">
      <c r="C914" s="30"/>
      <c r="E914" s="30"/>
      <c r="G914" s="30"/>
      <c r="I914" s="30"/>
    </row>
    <row r="915" ht="14.25" customHeight="1">
      <c r="C915" s="30"/>
      <c r="E915" s="30"/>
      <c r="G915" s="30"/>
      <c r="I915" s="30"/>
    </row>
    <row r="916" ht="14.25" customHeight="1">
      <c r="C916" s="30"/>
      <c r="E916" s="30"/>
      <c r="G916" s="30"/>
      <c r="I916" s="30"/>
    </row>
    <row r="917" ht="14.25" customHeight="1">
      <c r="C917" s="30"/>
      <c r="E917" s="30"/>
      <c r="G917" s="30"/>
      <c r="I917" s="30"/>
    </row>
    <row r="918" ht="14.25" customHeight="1">
      <c r="C918" s="30"/>
      <c r="E918" s="30"/>
      <c r="G918" s="30"/>
      <c r="I918" s="30"/>
    </row>
    <row r="919" ht="14.25" customHeight="1">
      <c r="C919" s="30"/>
      <c r="E919" s="30"/>
      <c r="G919" s="30"/>
      <c r="I919" s="30"/>
    </row>
    <row r="920" ht="14.25" customHeight="1">
      <c r="C920" s="30"/>
      <c r="E920" s="30"/>
      <c r="G920" s="30"/>
      <c r="I920" s="30"/>
    </row>
    <row r="921" ht="14.25" customHeight="1">
      <c r="C921" s="30"/>
      <c r="E921" s="30"/>
      <c r="G921" s="30"/>
      <c r="I921" s="30"/>
    </row>
    <row r="922" ht="14.25" customHeight="1">
      <c r="C922" s="30"/>
      <c r="E922" s="30"/>
      <c r="G922" s="30"/>
      <c r="I922" s="30"/>
    </row>
    <row r="923" ht="14.25" customHeight="1">
      <c r="C923" s="30"/>
      <c r="E923" s="30"/>
      <c r="G923" s="30"/>
      <c r="I923" s="30"/>
    </row>
    <row r="924" ht="14.25" customHeight="1">
      <c r="C924" s="30"/>
      <c r="E924" s="30"/>
      <c r="G924" s="30"/>
      <c r="I924" s="30"/>
    </row>
    <row r="925" ht="14.25" customHeight="1">
      <c r="C925" s="30"/>
      <c r="E925" s="30"/>
      <c r="G925" s="30"/>
      <c r="I925" s="30"/>
    </row>
    <row r="926" ht="14.25" customHeight="1">
      <c r="C926" s="30"/>
      <c r="E926" s="30"/>
      <c r="G926" s="30"/>
      <c r="I926" s="30"/>
    </row>
    <row r="927" ht="14.25" customHeight="1">
      <c r="C927" s="30"/>
      <c r="E927" s="30"/>
      <c r="G927" s="30"/>
      <c r="I927" s="30"/>
    </row>
    <row r="928" ht="14.25" customHeight="1">
      <c r="C928" s="30"/>
      <c r="E928" s="30"/>
      <c r="G928" s="30"/>
      <c r="I928" s="30"/>
    </row>
    <row r="929" ht="14.25" customHeight="1">
      <c r="C929" s="30"/>
      <c r="E929" s="30"/>
      <c r="G929" s="30"/>
      <c r="I929" s="30"/>
    </row>
    <row r="930" ht="14.25" customHeight="1">
      <c r="C930" s="30"/>
      <c r="E930" s="30"/>
      <c r="G930" s="30"/>
      <c r="I930" s="30"/>
    </row>
    <row r="931" ht="14.25" customHeight="1">
      <c r="C931" s="30"/>
      <c r="E931" s="30"/>
      <c r="G931" s="30"/>
      <c r="I931" s="30"/>
    </row>
    <row r="932" ht="14.25" customHeight="1">
      <c r="C932" s="30"/>
      <c r="E932" s="30"/>
      <c r="G932" s="30"/>
      <c r="I932" s="30"/>
    </row>
    <row r="933" ht="14.25" customHeight="1">
      <c r="C933" s="30"/>
      <c r="E933" s="30"/>
      <c r="G933" s="30"/>
      <c r="I933" s="30"/>
    </row>
    <row r="934" ht="14.25" customHeight="1">
      <c r="C934" s="30"/>
      <c r="E934" s="30"/>
      <c r="G934" s="30"/>
      <c r="I934" s="30"/>
    </row>
    <row r="935" ht="14.25" customHeight="1">
      <c r="C935" s="30"/>
      <c r="E935" s="30"/>
      <c r="G935" s="30"/>
      <c r="I935" s="30"/>
    </row>
    <row r="936" ht="14.25" customHeight="1">
      <c r="C936" s="30"/>
      <c r="E936" s="30"/>
      <c r="G936" s="30"/>
      <c r="I936" s="30"/>
    </row>
    <row r="937" ht="14.25" customHeight="1">
      <c r="C937" s="30"/>
      <c r="E937" s="30"/>
      <c r="G937" s="30"/>
      <c r="I937" s="30"/>
    </row>
    <row r="938" ht="14.25" customHeight="1">
      <c r="C938" s="30"/>
      <c r="E938" s="30"/>
      <c r="G938" s="30"/>
      <c r="I938" s="30"/>
    </row>
    <row r="939" ht="14.25" customHeight="1">
      <c r="C939" s="30"/>
      <c r="E939" s="30"/>
      <c r="G939" s="30"/>
      <c r="I939" s="30"/>
    </row>
    <row r="940" ht="14.25" customHeight="1">
      <c r="C940" s="30"/>
      <c r="E940" s="30"/>
      <c r="G940" s="30"/>
      <c r="I940" s="30"/>
    </row>
    <row r="941" ht="14.25" customHeight="1">
      <c r="C941" s="30"/>
      <c r="E941" s="30"/>
      <c r="G941" s="30"/>
      <c r="I941" s="30"/>
    </row>
    <row r="942" ht="14.25" customHeight="1">
      <c r="C942" s="30"/>
      <c r="E942" s="30"/>
      <c r="G942" s="30"/>
      <c r="I942" s="30"/>
    </row>
    <row r="943" ht="14.25" customHeight="1">
      <c r="C943" s="30"/>
      <c r="E943" s="30"/>
      <c r="G943" s="30"/>
      <c r="I943" s="30"/>
    </row>
    <row r="944" ht="14.25" customHeight="1">
      <c r="C944" s="30"/>
      <c r="E944" s="30"/>
      <c r="G944" s="30"/>
      <c r="I944" s="30"/>
    </row>
    <row r="945" ht="14.25" customHeight="1">
      <c r="C945" s="30"/>
      <c r="E945" s="30"/>
      <c r="G945" s="30"/>
      <c r="I945" s="30"/>
    </row>
    <row r="946" ht="14.25" customHeight="1">
      <c r="C946" s="30"/>
      <c r="E946" s="30"/>
      <c r="G946" s="30"/>
      <c r="I946" s="30"/>
    </row>
    <row r="947" ht="14.25" customHeight="1">
      <c r="C947" s="30"/>
      <c r="E947" s="30"/>
      <c r="G947" s="30"/>
      <c r="I947" s="30"/>
    </row>
    <row r="948" ht="14.25" customHeight="1">
      <c r="C948" s="30"/>
      <c r="E948" s="30"/>
      <c r="G948" s="30"/>
      <c r="I948" s="30"/>
    </row>
    <row r="949" ht="14.25" customHeight="1">
      <c r="C949" s="30"/>
      <c r="E949" s="30"/>
      <c r="G949" s="30"/>
      <c r="I949" s="30"/>
    </row>
    <row r="950" ht="14.25" customHeight="1">
      <c r="C950" s="30"/>
      <c r="E950" s="30"/>
      <c r="G950" s="30"/>
      <c r="I950" s="30"/>
    </row>
    <row r="951" ht="14.25" customHeight="1">
      <c r="C951" s="30"/>
      <c r="E951" s="30"/>
      <c r="G951" s="30"/>
      <c r="I951" s="30"/>
    </row>
    <row r="952" ht="14.25" customHeight="1">
      <c r="C952" s="30"/>
      <c r="E952" s="30"/>
      <c r="G952" s="30"/>
      <c r="I952" s="30"/>
    </row>
    <row r="953" ht="14.25" customHeight="1">
      <c r="C953" s="30"/>
      <c r="E953" s="30"/>
      <c r="G953" s="30"/>
      <c r="I953" s="30"/>
    </row>
    <row r="954" ht="14.25" customHeight="1">
      <c r="C954" s="30"/>
      <c r="E954" s="30"/>
      <c r="G954" s="30"/>
      <c r="I954" s="30"/>
    </row>
    <row r="955" ht="14.25" customHeight="1">
      <c r="C955" s="30"/>
      <c r="E955" s="30"/>
      <c r="G955" s="30"/>
      <c r="I955" s="30"/>
    </row>
    <row r="956" ht="14.25" customHeight="1">
      <c r="C956" s="30"/>
      <c r="E956" s="30"/>
      <c r="G956" s="30"/>
      <c r="I956" s="30"/>
    </row>
    <row r="957" ht="14.25" customHeight="1">
      <c r="C957" s="30"/>
      <c r="E957" s="30"/>
      <c r="G957" s="30"/>
      <c r="I957" s="30"/>
    </row>
    <row r="958" ht="14.25" customHeight="1">
      <c r="C958" s="30"/>
      <c r="E958" s="30"/>
      <c r="G958" s="30"/>
      <c r="I958" s="30"/>
    </row>
    <row r="959" ht="14.25" customHeight="1">
      <c r="C959" s="30"/>
      <c r="E959" s="30"/>
      <c r="G959" s="30"/>
      <c r="I959" s="30"/>
    </row>
    <row r="960" ht="14.25" customHeight="1">
      <c r="C960" s="30"/>
      <c r="E960" s="30"/>
      <c r="G960" s="30"/>
      <c r="I960" s="30"/>
    </row>
    <row r="961" ht="14.25" customHeight="1">
      <c r="C961" s="30"/>
      <c r="E961" s="30"/>
      <c r="G961" s="30"/>
      <c r="I961" s="30"/>
    </row>
    <row r="962" ht="14.25" customHeight="1">
      <c r="C962" s="30"/>
      <c r="E962" s="30"/>
      <c r="G962" s="30"/>
      <c r="I962" s="30"/>
    </row>
    <row r="963" ht="14.25" customHeight="1">
      <c r="C963" s="30"/>
      <c r="E963" s="30"/>
      <c r="G963" s="30"/>
      <c r="I963" s="30"/>
    </row>
    <row r="964" ht="14.25" customHeight="1">
      <c r="C964" s="30"/>
      <c r="E964" s="30"/>
      <c r="G964" s="30"/>
      <c r="I964" s="30"/>
    </row>
    <row r="965" ht="14.25" customHeight="1">
      <c r="C965" s="30"/>
      <c r="E965" s="30"/>
      <c r="G965" s="30"/>
      <c r="I965" s="30"/>
    </row>
    <row r="966" ht="14.25" customHeight="1">
      <c r="C966" s="30"/>
      <c r="E966" s="30"/>
      <c r="G966" s="30"/>
      <c r="I966" s="30"/>
    </row>
    <row r="967" ht="14.25" customHeight="1">
      <c r="C967" s="30"/>
      <c r="E967" s="30"/>
      <c r="G967" s="30"/>
      <c r="I967" s="30"/>
    </row>
    <row r="968" ht="14.25" customHeight="1">
      <c r="C968" s="30"/>
      <c r="E968" s="30"/>
      <c r="G968" s="30"/>
      <c r="I968" s="30"/>
    </row>
    <row r="969" ht="14.25" customHeight="1">
      <c r="C969" s="30"/>
      <c r="E969" s="30"/>
      <c r="G969" s="30"/>
      <c r="I969" s="30"/>
    </row>
    <row r="970" ht="14.25" customHeight="1">
      <c r="C970" s="30"/>
      <c r="E970" s="30"/>
      <c r="G970" s="30"/>
      <c r="I970" s="30"/>
    </row>
    <row r="971" ht="14.25" customHeight="1">
      <c r="C971" s="30"/>
      <c r="E971" s="30"/>
      <c r="G971" s="30"/>
      <c r="I971" s="30"/>
    </row>
    <row r="972" ht="14.25" customHeight="1">
      <c r="C972" s="30"/>
      <c r="E972" s="30"/>
      <c r="G972" s="30"/>
      <c r="I972" s="30"/>
    </row>
    <row r="973" ht="14.25" customHeight="1">
      <c r="C973" s="30"/>
      <c r="E973" s="30"/>
      <c r="G973" s="30"/>
      <c r="I973" s="30"/>
    </row>
    <row r="974" ht="14.25" customHeight="1">
      <c r="C974" s="30"/>
      <c r="E974" s="30"/>
      <c r="G974" s="30"/>
      <c r="I974" s="30"/>
    </row>
    <row r="975" ht="14.25" customHeight="1">
      <c r="C975" s="30"/>
      <c r="E975" s="30"/>
      <c r="G975" s="30"/>
      <c r="I975" s="30"/>
    </row>
    <row r="976" ht="14.25" customHeight="1">
      <c r="C976" s="30"/>
      <c r="E976" s="30"/>
      <c r="G976" s="30"/>
      <c r="I976" s="30"/>
    </row>
    <row r="977" ht="14.25" customHeight="1">
      <c r="C977" s="30"/>
      <c r="E977" s="30"/>
      <c r="G977" s="30"/>
      <c r="I977" s="30"/>
    </row>
    <row r="978" ht="14.25" customHeight="1">
      <c r="C978" s="30"/>
      <c r="E978" s="30"/>
      <c r="G978" s="30"/>
      <c r="I978" s="30"/>
    </row>
    <row r="979" ht="14.25" customHeight="1">
      <c r="C979" s="30"/>
      <c r="E979" s="30"/>
      <c r="G979" s="30"/>
      <c r="I979" s="30"/>
    </row>
    <row r="980" ht="14.25" customHeight="1">
      <c r="C980" s="30"/>
      <c r="E980" s="30"/>
      <c r="G980" s="30"/>
      <c r="I980" s="30"/>
    </row>
    <row r="981" ht="14.25" customHeight="1">
      <c r="C981" s="30"/>
      <c r="E981" s="30"/>
      <c r="G981" s="30"/>
      <c r="I981" s="30"/>
    </row>
    <row r="982" ht="14.25" customHeight="1">
      <c r="C982" s="30"/>
      <c r="E982" s="30"/>
      <c r="G982" s="30"/>
      <c r="I982" s="30"/>
    </row>
    <row r="983" ht="14.25" customHeight="1">
      <c r="C983" s="30"/>
      <c r="E983" s="30"/>
      <c r="G983" s="30"/>
      <c r="I983" s="30"/>
    </row>
    <row r="984" ht="14.25" customHeight="1">
      <c r="C984" s="30"/>
      <c r="E984" s="30"/>
      <c r="G984" s="30"/>
      <c r="I984" s="30"/>
    </row>
    <row r="985" ht="14.25" customHeight="1">
      <c r="C985" s="30"/>
      <c r="E985" s="30"/>
      <c r="G985" s="30"/>
      <c r="I985" s="30"/>
    </row>
    <row r="986" ht="14.25" customHeight="1">
      <c r="C986" s="30"/>
      <c r="E986" s="30"/>
      <c r="G986" s="30"/>
      <c r="I986" s="30"/>
    </row>
    <row r="987" ht="14.25" customHeight="1">
      <c r="C987" s="30"/>
      <c r="E987" s="30"/>
      <c r="G987" s="30"/>
      <c r="I987" s="30"/>
    </row>
    <row r="988" ht="14.25" customHeight="1">
      <c r="C988" s="30"/>
      <c r="E988" s="30"/>
      <c r="G988" s="30"/>
      <c r="I988" s="30"/>
    </row>
    <row r="989" ht="14.25" customHeight="1">
      <c r="C989" s="30"/>
      <c r="E989" s="30"/>
      <c r="G989" s="30"/>
      <c r="I989" s="30"/>
    </row>
    <row r="990" ht="14.25" customHeight="1">
      <c r="C990" s="30"/>
      <c r="E990" s="30"/>
      <c r="G990" s="30"/>
      <c r="I990" s="30"/>
    </row>
    <row r="991" ht="14.25" customHeight="1">
      <c r="C991" s="30"/>
      <c r="E991" s="30"/>
      <c r="G991" s="30"/>
      <c r="I991" s="30"/>
    </row>
    <row r="992" ht="14.25" customHeight="1">
      <c r="C992" s="30"/>
      <c r="E992" s="30"/>
      <c r="G992" s="30"/>
      <c r="I992" s="30"/>
    </row>
    <row r="993" ht="14.25" customHeight="1">
      <c r="C993" s="30"/>
      <c r="E993" s="30"/>
      <c r="G993" s="30"/>
      <c r="I993" s="30"/>
    </row>
    <row r="994" ht="14.25" customHeight="1">
      <c r="C994" s="30"/>
      <c r="E994" s="30"/>
      <c r="G994" s="30"/>
      <c r="I994" s="30"/>
    </row>
    <row r="995" ht="14.25" customHeight="1">
      <c r="C995" s="30"/>
      <c r="E995" s="30"/>
      <c r="G995" s="30"/>
      <c r="I995" s="30"/>
    </row>
    <row r="996" ht="14.25" customHeight="1">
      <c r="C996" s="30"/>
      <c r="E996" s="30"/>
      <c r="G996" s="30"/>
      <c r="I996" s="30"/>
    </row>
    <row r="997" ht="14.25" customHeight="1">
      <c r="C997" s="30"/>
      <c r="E997" s="30"/>
      <c r="G997" s="30"/>
      <c r="I997" s="30"/>
    </row>
    <row r="998" ht="14.25" customHeight="1">
      <c r="C998" s="30"/>
      <c r="E998" s="30"/>
      <c r="G998" s="30"/>
      <c r="I998" s="30"/>
    </row>
    <row r="999" ht="14.25" customHeight="1">
      <c r="C999" s="30"/>
      <c r="E999" s="30"/>
      <c r="G999" s="30"/>
      <c r="I999" s="30"/>
    </row>
    <row r="1000" ht="14.25" customHeight="1">
      <c r="C1000" s="30"/>
      <c r="E1000" s="30"/>
      <c r="G1000" s="30"/>
      <c r="I1000" s="30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31"/>
    </row>
    <row r="2" ht="14.25" customHeight="1">
      <c r="A2" s="32"/>
    </row>
    <row r="3" ht="14.25" customHeight="1">
      <c r="A3" s="33"/>
    </row>
    <row r="4" ht="14.25" customHeight="1">
      <c r="A4" s="34"/>
    </row>
    <row r="5" ht="14.25" customHeight="1">
      <c r="A5" s="35"/>
    </row>
    <row r="6" ht="14.25" customHeight="1">
      <c r="A6" s="35"/>
    </row>
    <row r="7" ht="14.25" customHeight="1">
      <c r="A7" s="35"/>
    </row>
    <row r="8" ht="14.25" customHeight="1">
      <c r="A8" s="35"/>
    </row>
    <row r="9" ht="14.25" customHeight="1">
      <c r="A9" s="35"/>
    </row>
    <row r="10" ht="14.25" customHeight="1">
      <c r="A10" s="35"/>
    </row>
    <row r="11" ht="14.25" customHeight="1">
      <c r="A11" s="35"/>
    </row>
    <row r="12" ht="14.25" customHeight="1">
      <c r="A12" s="33"/>
    </row>
    <row r="13" ht="14.25" customHeight="1">
      <c r="A13" s="32"/>
    </row>
    <row r="14" ht="14.25" customHeight="1">
      <c r="A14" s="35"/>
    </row>
    <row r="15" ht="14.25" customHeight="1">
      <c r="A15" s="35"/>
    </row>
    <row r="16" ht="14.25" customHeight="1">
      <c r="A16" s="35"/>
    </row>
    <row r="17" ht="14.25" customHeight="1">
      <c r="A17" s="35"/>
    </row>
    <row r="18" ht="14.25" customHeight="1">
      <c r="A18" s="35"/>
    </row>
    <row r="19" ht="14.25" customHeight="1">
      <c r="A19" s="35"/>
    </row>
    <row r="20" ht="14.25" customHeight="1">
      <c r="A20" s="35"/>
    </row>
    <row r="21" ht="14.25" customHeight="1">
      <c r="A21" s="35"/>
    </row>
    <row r="22" ht="14.25" customHeight="1">
      <c r="A22" s="35"/>
    </row>
    <row r="23" ht="14.25" customHeight="1">
      <c r="A23" s="33"/>
    </row>
    <row r="24" ht="14.25" customHeight="1">
      <c r="A24" s="33"/>
    </row>
    <row r="25" ht="14.25" customHeight="1">
      <c r="A25" s="31"/>
    </row>
    <row r="26" ht="14.25" customHeight="1">
      <c r="A26" s="35"/>
    </row>
    <row r="27" ht="14.25" customHeight="1">
      <c r="A27" s="35"/>
    </row>
    <row r="28" ht="14.25" customHeight="1">
      <c r="A28" s="35"/>
    </row>
    <row r="29" ht="14.25" customHeight="1">
      <c r="A29" s="35"/>
    </row>
    <row r="30" ht="14.25" customHeight="1">
      <c r="A30" s="35"/>
    </row>
    <row r="31" ht="14.25" customHeight="1">
      <c r="A31" s="35"/>
    </row>
    <row r="32" ht="14.25" customHeight="1">
      <c r="A32" s="35"/>
    </row>
    <row r="33" ht="14.25" customHeight="1">
      <c r="A33" s="35"/>
    </row>
    <row r="34" ht="14.25" customHeight="1">
      <c r="A34" s="35"/>
    </row>
    <row r="35" ht="14.25" customHeight="1">
      <c r="A35" s="35"/>
    </row>
    <row r="36" ht="14.25" customHeight="1">
      <c r="A36" s="35"/>
    </row>
    <row r="37" ht="14.25" customHeight="1">
      <c r="A37" s="35"/>
    </row>
    <row r="38" ht="14.25" customHeight="1">
      <c r="A38" s="35"/>
    </row>
    <row r="39" ht="14.25" customHeight="1">
      <c r="A39" s="35"/>
    </row>
    <row r="40" ht="14.25" customHeight="1">
      <c r="A40" s="35"/>
    </row>
    <row r="41" ht="14.25" customHeight="1">
      <c r="A41" s="35"/>
    </row>
    <row r="42" ht="14.25" customHeight="1">
      <c r="A42" s="35"/>
    </row>
    <row r="43" ht="14.25" customHeight="1">
      <c r="A43" s="33"/>
    </row>
    <row r="44" ht="14.25" customHeight="1">
      <c r="A44" s="33"/>
    </row>
    <row r="45" ht="14.25" customHeight="1">
      <c r="A45" s="35"/>
    </row>
    <row r="46" ht="14.25" customHeight="1">
      <c r="A46" s="35"/>
    </row>
    <row r="47" ht="14.25" customHeight="1">
      <c r="A47" s="35"/>
    </row>
    <row r="48" ht="14.25" customHeight="1">
      <c r="A48" s="35"/>
    </row>
    <row r="49" ht="14.25" customHeight="1">
      <c r="A49" s="35"/>
    </row>
    <row r="50" ht="14.25" customHeight="1">
      <c r="A50" s="35"/>
    </row>
    <row r="51" ht="14.25" customHeight="1">
      <c r="A51" s="35"/>
    </row>
    <row r="52" ht="14.25" customHeight="1">
      <c r="A52" s="35"/>
    </row>
    <row r="53" ht="14.25" customHeight="1">
      <c r="A53" s="33"/>
    </row>
    <row r="54" ht="14.25" customHeight="1">
      <c r="A54" s="33"/>
    </row>
    <row r="55" ht="14.25" customHeight="1">
      <c r="A55" s="35"/>
    </row>
    <row r="56" ht="14.25" customHeight="1">
      <c r="A56" s="35"/>
    </row>
    <row r="57" ht="14.25" customHeight="1">
      <c r="A57" s="35"/>
    </row>
    <row r="58" ht="14.25" customHeight="1">
      <c r="A58" s="35"/>
    </row>
    <row r="59" ht="14.25" customHeight="1">
      <c r="A59" s="35"/>
    </row>
    <row r="60" ht="14.25" customHeight="1">
      <c r="A60" s="35"/>
    </row>
    <row r="61" ht="14.25" customHeight="1">
      <c r="A61" s="35"/>
    </row>
    <row r="62" ht="14.25" customHeight="1">
      <c r="A62" s="35"/>
    </row>
    <row r="63" ht="14.25" customHeight="1">
      <c r="A63" s="35"/>
    </row>
    <row r="64" ht="14.25" customHeight="1">
      <c r="A64" s="35"/>
    </row>
    <row r="65" ht="14.25" customHeight="1">
      <c r="A65" s="35"/>
    </row>
    <row r="66" ht="14.25" customHeight="1">
      <c r="A66" s="33"/>
    </row>
    <row r="67" ht="14.25" customHeight="1">
      <c r="A67" s="33"/>
    </row>
    <row r="68" ht="14.25" customHeight="1">
      <c r="A68" s="35"/>
    </row>
    <row r="69" ht="14.25" customHeight="1">
      <c r="A69" s="35"/>
    </row>
    <row r="70" ht="14.25" customHeight="1">
      <c r="A70" s="35"/>
    </row>
    <row r="71" ht="14.25" customHeight="1">
      <c r="A71" s="35"/>
    </row>
    <row r="72" ht="14.25" customHeight="1">
      <c r="A72" s="35"/>
    </row>
    <row r="73" ht="14.25" customHeight="1">
      <c r="A73" s="35"/>
    </row>
    <row r="74" ht="14.25" customHeight="1">
      <c r="A74" s="35"/>
    </row>
    <row r="75" ht="14.25" customHeight="1">
      <c r="A75" s="35"/>
    </row>
    <row r="76" ht="14.25" customHeight="1">
      <c r="A76" s="35"/>
    </row>
    <row r="77" ht="14.25" customHeight="1">
      <c r="A77" s="35"/>
    </row>
    <row r="78" ht="14.25" customHeight="1">
      <c r="A78" s="35"/>
    </row>
    <row r="79" ht="14.25" customHeight="1">
      <c r="A79" s="35"/>
    </row>
    <row r="80" ht="14.25" customHeight="1">
      <c r="A80" s="33"/>
    </row>
    <row r="81" ht="14.25" customHeight="1">
      <c r="A81" s="33"/>
    </row>
    <row r="82" ht="14.25" customHeight="1">
      <c r="A82" s="35"/>
    </row>
    <row r="83" ht="14.25" customHeight="1">
      <c r="A83" s="35"/>
    </row>
    <row r="84" ht="14.25" customHeight="1">
      <c r="A84" s="35"/>
    </row>
    <row r="85" ht="14.25" customHeight="1">
      <c r="A85" s="35"/>
    </row>
    <row r="86" ht="14.25" customHeight="1">
      <c r="A86" s="35"/>
    </row>
    <row r="87" ht="14.25" customHeight="1">
      <c r="A87" s="35"/>
    </row>
    <row r="88" ht="14.25" customHeight="1">
      <c r="A88" s="35"/>
    </row>
    <row r="89" ht="14.25" customHeight="1">
      <c r="A89" s="35"/>
    </row>
    <row r="90" ht="14.25" customHeight="1">
      <c r="A90" s="35"/>
    </row>
    <row r="91" ht="14.25" customHeight="1">
      <c r="A91" s="35"/>
    </row>
    <row r="92" ht="14.25" customHeight="1">
      <c r="A92" s="35"/>
    </row>
    <row r="93" ht="14.25" customHeight="1">
      <c r="A93" s="35"/>
    </row>
    <row r="94" ht="14.25" customHeight="1">
      <c r="A94" s="33"/>
    </row>
    <row r="95" ht="14.25" customHeight="1">
      <c r="A95" s="33"/>
    </row>
    <row r="96" ht="14.25" customHeight="1">
      <c r="A96" s="33"/>
    </row>
    <row r="97" ht="14.25" customHeight="1">
      <c r="A97" s="31"/>
    </row>
    <row r="98" ht="14.25" customHeight="1">
      <c r="A98" s="34"/>
    </row>
    <row r="99" ht="14.25" customHeight="1">
      <c r="A99" s="35"/>
    </row>
    <row r="100" ht="14.25" customHeight="1">
      <c r="A100" s="34"/>
    </row>
    <row r="101" ht="14.25" customHeight="1">
      <c r="A101" s="34"/>
    </row>
    <row r="102" ht="14.25" customHeight="1">
      <c r="A102" s="35"/>
    </row>
    <row r="103" ht="14.25" customHeight="1">
      <c r="A103" s="35"/>
    </row>
    <row r="104" ht="14.25" customHeight="1">
      <c r="A104" s="35"/>
    </row>
    <row r="105" ht="14.25" customHeight="1">
      <c r="A105" s="33"/>
    </row>
    <row r="106" ht="14.25" customHeight="1">
      <c r="A106" s="34"/>
    </row>
    <row r="107" ht="14.25" customHeight="1">
      <c r="A107" s="35"/>
    </row>
    <row r="108" ht="14.25" customHeight="1">
      <c r="A108" s="34"/>
    </row>
    <row r="109" ht="14.25" customHeight="1">
      <c r="A109" s="35"/>
    </row>
    <row r="110" ht="14.25" customHeight="1">
      <c r="A110" s="35"/>
    </row>
    <row r="111" ht="14.25" customHeight="1">
      <c r="A111" s="35"/>
    </row>
    <row r="112" ht="14.25" customHeight="1">
      <c r="A112" s="33"/>
    </row>
    <row r="113" ht="14.25" customHeight="1">
      <c r="A113" s="31"/>
    </row>
    <row r="114" ht="14.25" customHeight="1">
      <c r="A114" s="35"/>
    </row>
    <row r="115" ht="14.25" customHeight="1">
      <c r="A115" s="35"/>
    </row>
    <row r="116" ht="14.25" customHeight="1">
      <c r="A116" s="35"/>
    </row>
    <row r="117" ht="14.25" customHeight="1">
      <c r="A117" s="35"/>
    </row>
    <row r="118" ht="14.25" customHeight="1">
      <c r="A118" s="35"/>
    </row>
    <row r="119" ht="14.25" customHeight="1">
      <c r="A119" s="35"/>
    </row>
    <row r="120" ht="14.25" customHeight="1">
      <c r="A120" s="35"/>
    </row>
    <row r="121" ht="14.25" customHeight="1">
      <c r="A121" s="35"/>
    </row>
    <row r="122" ht="14.25" customHeight="1">
      <c r="A122" s="35"/>
    </row>
    <row r="123" ht="14.25" customHeight="1">
      <c r="A123" s="35"/>
    </row>
    <row r="124" ht="14.25" customHeight="1">
      <c r="A124" s="35"/>
    </row>
    <row r="125" ht="14.25" customHeight="1">
      <c r="A125" s="35"/>
    </row>
    <row r="126" ht="14.25" customHeight="1">
      <c r="A126" s="35"/>
    </row>
    <row r="127" ht="14.25" customHeight="1">
      <c r="A127" s="35"/>
    </row>
    <row r="128" ht="14.25" customHeight="1">
      <c r="A128" s="33"/>
    </row>
    <row r="129" ht="14.25" customHeight="1">
      <c r="A129" s="35"/>
    </row>
    <row r="130" ht="14.25" customHeight="1">
      <c r="A130" s="35"/>
    </row>
    <row r="131" ht="14.25" customHeight="1">
      <c r="A131" s="35"/>
    </row>
    <row r="132" ht="14.25" customHeight="1">
      <c r="A132" s="35"/>
    </row>
    <row r="133" ht="14.25" customHeight="1">
      <c r="A133" s="35"/>
    </row>
    <row r="134" ht="14.25" customHeight="1">
      <c r="A134" s="35"/>
    </row>
    <row r="135" ht="14.25" customHeight="1">
      <c r="A135" s="35"/>
    </row>
    <row r="136" ht="14.25" customHeight="1">
      <c r="A136" s="35"/>
    </row>
    <row r="137" ht="14.25" customHeight="1">
      <c r="A137" s="35"/>
    </row>
    <row r="138" ht="14.25" customHeight="1">
      <c r="A138" s="35"/>
    </row>
    <row r="139" ht="14.25" customHeight="1">
      <c r="A139" s="35"/>
    </row>
    <row r="140" ht="14.25" customHeight="1">
      <c r="A140" s="35"/>
    </row>
    <row r="141" ht="14.25" customHeight="1">
      <c r="A141" s="35"/>
    </row>
    <row r="142" ht="14.25" customHeight="1">
      <c r="A142" s="35"/>
    </row>
    <row r="143" ht="14.25" customHeight="1">
      <c r="A143" s="35"/>
    </row>
    <row r="144" ht="14.25" customHeight="1">
      <c r="A144" s="35"/>
    </row>
    <row r="145" ht="14.25" customHeight="1">
      <c r="A145" s="33"/>
    </row>
    <row r="146" ht="14.25" customHeight="1">
      <c r="A146" s="36"/>
    </row>
    <row r="147" ht="14.25" customHeight="1">
      <c r="A147" s="37"/>
    </row>
    <row r="148" ht="17.25" customHeight="1">
      <c r="A148" s="38"/>
    </row>
    <row r="149" ht="14.25" customHeight="1">
      <c r="A149" s="39"/>
    </row>
    <row r="150" ht="14.25" customHeight="1">
      <c r="A150" s="40"/>
    </row>
    <row r="151" ht="14.25" customHeight="1">
      <c r="A151" s="39"/>
    </row>
    <row r="152" ht="14.25" customHeight="1">
      <c r="A152" s="39"/>
    </row>
    <row r="153" ht="14.25" customHeight="1">
      <c r="A153" s="40"/>
    </row>
    <row r="154" ht="14.25" customHeight="1">
      <c r="A154" s="39"/>
    </row>
    <row r="155" ht="14.25" customHeight="1">
      <c r="A155" s="39"/>
    </row>
    <row r="156" ht="14.25" customHeight="1">
      <c r="A156" s="40"/>
    </row>
    <row r="157" ht="14.25" customHeight="1">
      <c r="A157" s="39"/>
    </row>
    <row r="158" ht="14.25" customHeight="1">
      <c r="A158" s="40"/>
    </row>
    <row r="159" ht="14.25" customHeight="1">
      <c r="A159" s="39"/>
    </row>
    <row r="160" ht="14.25" customHeight="1">
      <c r="A160" s="39"/>
    </row>
    <row r="161" ht="14.25" customHeight="1">
      <c r="A161" s="39"/>
    </row>
    <row r="162" ht="14.25" customHeight="1">
      <c r="A162" s="39"/>
    </row>
    <row r="163" ht="14.25" customHeight="1">
      <c r="A163" s="40"/>
    </row>
    <row r="164" ht="14.25" customHeight="1">
      <c r="A164" s="39"/>
    </row>
    <row r="165" ht="14.25" customHeight="1">
      <c r="A165" s="40"/>
    </row>
    <row r="166" ht="14.25" customHeight="1">
      <c r="A166" s="39"/>
    </row>
    <row r="167" ht="14.25" customHeight="1">
      <c r="A167" s="39"/>
    </row>
    <row r="168" ht="14.25" customHeight="1">
      <c r="A168" s="39"/>
    </row>
    <row r="169" ht="14.25" customHeight="1">
      <c r="A169" s="40"/>
    </row>
    <row r="170" ht="14.25" customHeight="1">
      <c r="A170" s="39"/>
    </row>
    <row r="171" ht="14.25" customHeight="1">
      <c r="A171" s="40"/>
    </row>
    <row r="172" ht="14.25" customHeight="1">
      <c r="A172" s="39"/>
    </row>
    <row r="173" ht="14.25" customHeight="1">
      <c r="A173" s="39"/>
    </row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2025-12-13T13:13:58Z</dcterms:created>
  <dc:creator>Nikhil Goswami</dc:creator>
</cp:coreProperties>
</file>